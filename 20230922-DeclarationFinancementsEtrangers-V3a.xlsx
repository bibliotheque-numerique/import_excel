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Déclaration des FE" sheetId="1" state="visible" r:id="rId1"/>
    <sheet name="Nomenclature des pays" sheetId="2" state="visible" r:id="rId2"/>
  </sheets>
  <calcPr iterateDelta="0.0001"/>
</workbook>
</file>

<file path=xl/sharedStrings.xml><?xml version="1.0" encoding="utf-8"?>
<sst xmlns="http://schemas.openxmlformats.org/spreadsheetml/2006/main" count="525" uniqueCount="525">
  <si>
    <t xml:space="preserve">zone de saisie</t>
  </si>
  <si>
    <r>
      <rPr>
        <b/>
        <sz val="12"/>
        <color rgb="FF2F5597"/>
        <rFont val="Arial"/>
      </rPr>
      <t xml:space="preserve">zone de contrôle</t>
    </r>
    <r>
      <rPr>
        <sz val="12"/>
        <color rgb="FF2F5597"/>
        <rFont val="Arial"/>
      </rPr>
      <t xml:space="preserve"> 
Les valeurs affichées dans cette zone seront celles retenues pour la déclaration</t>
    </r>
    <r>
      <rPr>
        <sz val="12"/>
        <color rgb="FF2F5597"/>
        <rFont val="Arial"/>
      </rPr>
      <t xml:space="preserve">
Un document présentant des erreurs sera considéré comme invalide</t>
    </r>
  </si>
  <si>
    <t xml:space="preserve">zone de réservée -  valeurs acceptées</t>
  </si>
  <si>
    <r>
      <rPr>
        <sz val="12"/>
        <color rgb="FF2F5597"/>
        <rFont val="Arial"/>
      </rPr>
      <t xml:space="preserve">
</t>
    </r>
    <r>
      <rPr>
        <sz val="12"/>
        <color rgb="FF2F5597"/>
        <rFont val="Arial"/>
      </rPr>
      <t xml:space="preserve">Date du financement (1)
</t>
    </r>
    <r>
      <rPr>
        <sz val="11"/>
        <rFont val="Arial"/>
      </rPr>
      <t xml:space="preserve">
</t>
    </r>
    <r>
      <rPr>
        <sz val="11"/>
        <rFont val="Arial"/>
      </rPr>
      <t>JJ/MM/AAAA</t>
    </r>
  </si>
  <si>
    <r>
      <rPr>
        <sz val="12"/>
        <color rgb="FF2F5597"/>
        <rFont val="Arial"/>
      </rPr>
      <t xml:space="preserve">
Type de personnalité du contributeur (2)
</t>
    </r>
    <r>
      <rPr>
        <sz val="11"/>
        <rFont val="Arial"/>
      </rPr>
      <t xml:space="preserve">
</t>
    </r>
    <r>
      <rPr>
        <sz val="10"/>
        <rFont val="Arial"/>
      </rPr>
      <t xml:space="preserve">3 réponses possibles seulement
</t>
    </r>
    <r>
      <rPr>
        <sz val="9"/>
        <rFont val="Arial"/>
      </rPr>
      <t xml:space="preserve">- PM : Personne morale
- PP : Personne physique 
- E/AP : Etat ou autorité publique</t>
    </r>
  </si>
  <si>
    <r>
      <rPr>
        <sz val="12"/>
        <color rgb="FF2F5597"/>
        <rFont val="Arial"/>
      </rPr>
      <t xml:space="preserve">
Pays d'origine
</t>
    </r>
    <r>
      <rPr>
        <sz val="10"/>
        <color theme="1"/>
        <rFont val="Arial"/>
      </rPr>
      <t xml:space="preserve">La liste des Pays se trouve en colonne T
</t>
    </r>
    <r>
      <rPr>
        <sz val="9"/>
        <color theme="1"/>
        <rFont val="Arial"/>
      </rPr>
      <t xml:space="preserve">(par exemple USA n'est pas accepté. Vous devez saisir ETATS UNIS)</t>
    </r>
  </si>
  <si>
    <r>
      <rPr>
        <sz val="12"/>
        <color rgb="FF2F5597"/>
        <rFont val="Arial"/>
      </rPr>
      <t xml:space="preserve">
</t>
    </r>
    <r>
      <rPr>
        <sz val="12"/>
        <color rgb="FF2F5597"/>
        <rFont val="Arial"/>
      </rPr>
      <t xml:space="preserve">Nature du financement 
</t>
    </r>
    <r>
      <rPr>
        <sz val="12"/>
        <rFont val="Arial"/>
      </rPr>
      <t xml:space="preserve">
</t>
    </r>
    <r>
      <rPr>
        <sz val="10"/>
        <rFont val="Arial"/>
      </rPr>
      <t xml:space="preserve">3 réponses possibles seulement
</t>
    </r>
    <r>
      <rPr>
        <sz val="9"/>
        <rFont val="Arial"/>
      </rPr>
      <t xml:space="preserve">- RP : Ressource Pécuniaire
</t>
    </r>
    <r>
      <rPr>
        <sz val="9"/>
        <rFont val="Arial"/>
      </rPr>
      <t xml:space="preserve">- AN : Avantage en Nature
</t>
    </r>
    <r>
      <rPr>
        <sz val="9"/>
        <rFont val="Arial"/>
      </rPr>
      <t xml:space="preserve">- AFP : Apports en Fonds Propres avec ou sans reprise</t>
    </r>
  </si>
  <si>
    <r>
      <t xml:space="preserve">
Caractère du financement
</t>
    </r>
    <r>
      <rPr>
        <sz val="11"/>
        <rFont val="Arial"/>
      </rPr>
      <t xml:space="preserve">
</t>
    </r>
    <r>
      <rPr>
        <sz val="10"/>
        <rFont val="Arial"/>
      </rPr>
      <t xml:space="preserve">2 réponses possibles seulement
</t>
    </r>
    <r>
      <rPr>
        <sz val="9"/>
        <rFont val="Arial"/>
      </rPr>
      <t xml:space="preserve">- D : Direct
- I : Indirect</t>
    </r>
  </si>
  <si>
    <r>
      <rPr>
        <sz val="12"/>
        <color rgb="FF2F5597"/>
        <rFont val="Arial"/>
      </rPr>
      <t xml:space="preserve">
</t>
    </r>
    <r>
      <rPr>
        <sz val="12"/>
        <color rgb="FF2F5597"/>
        <rFont val="Arial"/>
      </rPr>
      <t xml:space="preserve">Mode de paiement, le cas échéant
</t>
    </r>
    <r>
      <rPr>
        <sz val="12"/>
        <color rgb="FF2F5597"/>
        <rFont val="Arial"/>
      </rPr>
      <t xml:space="preserve">
</t>
    </r>
    <r>
      <rPr>
        <sz val="10"/>
        <rFont val="Arial"/>
      </rPr>
      <t xml:space="preserve">4 réponses possibles seulement
</t>
    </r>
    <r>
      <rPr>
        <sz val="9"/>
        <rFont val="Arial"/>
      </rPr>
      <t xml:space="preserve">- VN : Versement en Numéraire
</t>
    </r>
    <r>
      <rPr>
        <sz val="9"/>
        <rFont val="Arial"/>
      </rPr>
      <t xml:space="preserve">- VB : Virement Bancaire
</t>
    </r>
    <r>
      <rPr>
        <sz val="9"/>
        <rFont val="Arial"/>
      </rPr>
      <t xml:space="preserve">- C : Chèque
</t>
    </r>
    <r>
      <rPr>
        <sz val="9"/>
        <rFont val="Arial"/>
      </rPr>
      <t xml:space="preserve">- CB : Carte Bancaire
</t>
    </r>
    <r>
      <rPr>
        <sz val="9"/>
        <rFont val="Arial"/>
      </rPr>
      <t xml:space="preserve">- Autres : Autre mode de paiement</t>
    </r>
  </si>
  <si>
    <t xml:space="preserve">
Montant ou valeur à déclarer en euros (3)</t>
  </si>
  <si>
    <t xml:space="preserve">
Validité de la ligne renseignée</t>
  </si>
  <si>
    <r>
      <t xml:space="preserve">
Date du financement (1)
</t>
    </r>
    <r>
      <rPr>
        <sz val="11"/>
        <rFont val="Arial"/>
      </rPr>
      <t xml:space="preserve">
JJ/MM/AAAA</t>
    </r>
  </si>
  <si>
    <r>
      <t xml:space="preserve">
Type de personnalité du contributeur (2)
</t>
    </r>
    <r>
      <rPr>
        <sz val="11"/>
        <rFont val="Arial"/>
      </rPr>
      <t xml:space="preserve">
</t>
    </r>
    <r>
      <rPr>
        <sz val="10"/>
        <rFont val="Arial"/>
      </rPr>
      <t xml:space="preserve">3 réponses possibles seulement
</t>
    </r>
    <r>
      <rPr>
        <sz val="9"/>
        <rFont val="Arial"/>
      </rPr>
      <t xml:space="preserve">- PM : Personne morale
- PP : Personne physique 
- E/AP : Etat ou autorité publique</t>
    </r>
  </si>
  <si>
    <r>
      <t xml:space="preserve">
Pays d'origine
</t>
    </r>
    <r>
      <rPr>
        <sz val="10"/>
        <color theme="1"/>
        <rFont val="Arial"/>
      </rPr>
      <t xml:space="preserve">La liste des Pays se trouve en colonne T
(par exemple USA n'est pas accepté. Vous devez sairir ETATS UNIS)</t>
    </r>
  </si>
  <si>
    <r>
      <t xml:space="preserve">
Mode de paiement, le cas échéant
</t>
    </r>
    <r>
      <rPr>
        <sz val="10"/>
        <rFont val="Arial"/>
      </rPr>
      <t xml:space="preserve">4 réponses possibles seulement
</t>
    </r>
    <r>
      <rPr>
        <sz val="9"/>
        <rFont val="Arial"/>
      </rPr>
      <t xml:space="preserve">- VN : Versement en Numéraire
- VB : Virement Bancaire
- C : Chèque
- CB : Carte Bancaire
- Autres : Autre mode de paiement</t>
    </r>
  </si>
  <si>
    <t xml:space="preserve">
Type de personnalité du contributeur</t>
  </si>
  <si>
    <t xml:space="preserve">
Pays d'origine</t>
  </si>
  <si>
    <t xml:space="preserve">
Nature du financement</t>
  </si>
  <si>
    <t xml:space="preserve">
Caractère du financement</t>
  </si>
  <si>
    <t xml:space="preserve">
Mode de paiement, le cas échéant</t>
  </si>
  <si>
    <r>
      <rPr>
        <sz val="11"/>
        <color indexed="65"/>
        <rFont val="Arial"/>
      </rPr>
      <t xml:space="preserve">date
</t>
    </r>
    <r>
      <rPr>
        <sz val="8"/>
        <color indexed="65"/>
        <rFont val="Arial"/>
      </rPr>
      <t xml:space="preserve">Exemple: 23/05/2022</t>
    </r>
  </si>
  <si>
    <r>
      <rPr>
        <sz val="11"/>
        <color indexed="65"/>
        <rFont val="Arial"/>
      </rPr>
      <t xml:space="preserve">type_contributeur
</t>
    </r>
    <r>
      <rPr>
        <sz val="8"/>
        <color indexed="65"/>
        <rFont val="Arial"/>
      </rPr>
      <t xml:space="preserve">Exemple: PP</t>
    </r>
  </si>
  <si>
    <r>
      <rPr>
        <sz val="11"/>
        <color indexed="65"/>
        <rFont val="Arial"/>
      </rPr>
      <t xml:space="preserve">pays_origine
</t>
    </r>
    <r>
      <rPr>
        <sz val="8"/>
        <color indexed="65"/>
        <rFont val="Arial"/>
      </rPr>
      <t xml:space="preserve">Exemple : Suisse</t>
    </r>
  </si>
  <si>
    <r>
      <rPr>
        <sz val="11"/>
        <color indexed="65"/>
        <rFont val="Arial"/>
      </rPr>
      <t xml:space="preserve">nature_financement
</t>
    </r>
    <r>
      <rPr>
        <sz val="8"/>
        <color indexed="65"/>
        <rFont val="Arial"/>
      </rPr>
      <t xml:space="preserve">Exemple : RP</t>
    </r>
  </si>
  <si>
    <r>
      <rPr>
        <sz val="11"/>
        <color indexed="65"/>
        <rFont val="Arial"/>
      </rPr>
      <t xml:space="preserve">caractere_financement
</t>
    </r>
    <r>
      <rPr>
        <sz val="8"/>
        <color indexed="65"/>
        <rFont val="Arial"/>
      </rPr>
      <t xml:space="preserve">Exemple: D</t>
    </r>
  </si>
  <si>
    <r>
      <rPr>
        <sz val="11"/>
        <color indexed="65"/>
        <rFont val="Arial"/>
      </rPr>
      <t xml:space="preserve">mode_paiement
</t>
    </r>
    <r>
      <rPr>
        <sz val="8"/>
        <color indexed="65"/>
        <rFont val="Arial"/>
      </rPr>
      <t xml:space="preserve">Exemple: CB</t>
    </r>
  </si>
  <si>
    <r>
      <rPr>
        <sz val="11"/>
        <color indexed="65"/>
        <rFont val="Arial"/>
      </rPr>
      <t xml:space="preserve">montant €
</t>
    </r>
    <r>
      <rPr>
        <sz val="8"/>
        <color indexed="65"/>
        <rFont val="Arial"/>
      </rPr>
      <t xml:space="preserve">Exemple : 153</t>
    </r>
  </si>
  <si>
    <t>date</t>
  </si>
  <si>
    <t>type_contributeur</t>
  </si>
  <si>
    <t>pays_origine</t>
  </si>
  <si>
    <t>nature_financement</t>
  </si>
  <si>
    <t>Caractère_financement</t>
  </si>
  <si>
    <t>mode_paiement</t>
  </si>
  <si>
    <t xml:space="preserve">montant €</t>
  </si>
  <si>
    <r>
      <rPr>
        <b/>
        <sz val="16"/>
        <color indexed="64"/>
        <rFont val="Arial"/>
      </rPr>
      <t xml:space="preserve">  
Comment remplir votre déclaration </t>
    </r>
    <r>
      <rPr>
        <sz val="10"/>
        <color indexed="64"/>
        <rFont val="Times New Roman"/>
      </rPr>
      <t xml:space="preserve">
                                 </t>
    </r>
    <r>
      <rPr>
        <sz val="16"/>
        <color indexed="64"/>
        <rFont val="Times New Roman"/>
      </rPr>
      <t>⇩</t>
    </r>
    <r>
      <rPr>
        <sz val="10"/>
        <color indexed="64"/>
        <rFont val="Times New Roman"/>
      </rPr>
      <t xml:space="preserve">
Merci de procéder de la manière suivante :
 1) Dans la zone de saisie, compléter la présente grille selon les nomenclatures indiquées en en-tête.
Vous pouvez utiliser la fonction "copier-coller". 
 2) Dans la zone de contrôle à droite (à partir de la colonne J), vous pouvez vérifier que les données saisies respectent la nomenclature. Lorsque les données complétées respectent la nomenclature, le symbole "P " apparait. Lorsque les données ne respectent pas la nomenclature, le symbole " × apparait pour vous permettre de corriger la donnée erronée . 
 3) Effectuer un "Enregistrer sous" de la grille dûment complétée dans le format que vous souhaitez (".xlsx" ou ".ods.").
 4) Cliquer sur "Parcourir" et sélectionner la grille complétée que vous avez enregistrée. Cliquer sur "Ouvrir" pour charger la grille dans votre déclaration
Conseil 
Organiser un onglet dédié au même format dans vos tableurs de comptabilité vous permettra de remplir plus aisément vos futures déclarations.
Légende 
(1) Date de réception effective du financement ou date prévisionnelle de la réception du financement projeté
 (2) Celui qui finance
 (3) Pour les sommes d'argent, indiquez la valeur nominale de la somme donnée (somme reçue). Pour les valeurs cotées en bourse, référez-vous à la cote officielle. La valeur des biens est obligatoirement en euros. Attention : ne portez pas les centimes d’euros</t>
    </r>
  </si>
  <si>
    <t>PM</t>
  </si>
  <si>
    <t>Afghanistan</t>
  </si>
  <si>
    <t>AFGHANISTAN</t>
  </si>
  <si>
    <t>RP</t>
  </si>
  <si>
    <t>D</t>
  </si>
  <si>
    <t>VN</t>
  </si>
  <si>
    <t>PP</t>
  </si>
  <si>
    <t xml:space="preserve">Afrique du Sud</t>
  </si>
  <si>
    <t xml:space="preserve">AFRIQUE DU SUD</t>
  </si>
  <si>
    <t>AN</t>
  </si>
  <si>
    <t>I</t>
  </si>
  <si>
    <t>VB</t>
  </si>
  <si>
    <t>E/AP</t>
  </si>
  <si>
    <t xml:space="preserve">Åland, Îles</t>
  </si>
  <si>
    <t xml:space="preserve">ALAND, ILES</t>
  </si>
  <si>
    <t>AFP</t>
  </si>
  <si>
    <t>C</t>
  </si>
  <si>
    <t>Albanie</t>
  </si>
  <si>
    <t>ALBANIE</t>
  </si>
  <si>
    <t>CB</t>
  </si>
  <si>
    <t>Algérie</t>
  </si>
  <si>
    <t>ALGERIE</t>
  </si>
  <si>
    <t>Autres</t>
  </si>
  <si>
    <t>Allemagne</t>
  </si>
  <si>
    <t>ALLEMAGNE</t>
  </si>
  <si>
    <t>Andorre</t>
  </si>
  <si>
    <t>ANDORRE</t>
  </si>
  <si>
    <t>Angola</t>
  </si>
  <si>
    <t>ANGOLA</t>
  </si>
  <si>
    <t>Anguilla</t>
  </si>
  <si>
    <t>ANGUILLA</t>
  </si>
  <si>
    <t>Antarctique</t>
  </si>
  <si>
    <t>ANTARCTIQUE</t>
  </si>
  <si>
    <t>Antigua-et-Barbuda</t>
  </si>
  <si>
    <t>ANTIGUA-ET-BARBUDA</t>
  </si>
  <si>
    <t xml:space="preserve">Arabie saoudite</t>
  </si>
  <si>
    <t xml:space="preserve">ARABIE SAOUDITE</t>
  </si>
  <si>
    <t>Argentine</t>
  </si>
  <si>
    <t>ARGENTINE</t>
  </si>
  <si>
    <t>Arménie</t>
  </si>
  <si>
    <t>ARMENIE</t>
  </si>
  <si>
    <t>Aruba</t>
  </si>
  <si>
    <t>ARUBA</t>
  </si>
  <si>
    <t>Australie</t>
  </si>
  <si>
    <t>AUSTRALIE</t>
  </si>
  <si>
    <t>Autriche</t>
  </si>
  <si>
    <t>AUTRICHE</t>
  </si>
  <si>
    <t>Azerbaïdjan</t>
  </si>
  <si>
    <t>AZERBAIDJAN</t>
  </si>
  <si>
    <t>Bahamas</t>
  </si>
  <si>
    <t>BAHAMAS</t>
  </si>
  <si>
    <t>Bahreïn</t>
  </si>
  <si>
    <t>BAHREIN</t>
  </si>
  <si>
    <t>Bangladesh</t>
  </si>
  <si>
    <t>BANGLADESH</t>
  </si>
  <si>
    <t>Barbade</t>
  </si>
  <si>
    <t>BARBADE</t>
  </si>
  <si>
    <t>Bélarus</t>
  </si>
  <si>
    <t>BELARUS</t>
  </si>
  <si>
    <t>Belgique</t>
  </si>
  <si>
    <t>BELGIQUE</t>
  </si>
  <si>
    <t>Belize</t>
  </si>
  <si>
    <t>BELIZE</t>
  </si>
  <si>
    <t>Bénin</t>
  </si>
  <si>
    <t>BENIN</t>
  </si>
  <si>
    <t>Bermudes</t>
  </si>
  <si>
    <t>BERMUDES</t>
  </si>
  <si>
    <t>Bhoutan</t>
  </si>
  <si>
    <t>BHOUTAN</t>
  </si>
  <si>
    <t>Birmanie</t>
  </si>
  <si>
    <t>BIRMANIE</t>
  </si>
  <si>
    <t>Bolivie</t>
  </si>
  <si>
    <t>BOLIVIE</t>
  </si>
  <si>
    <t xml:space="preserve">Bonaire, Saint-Eustache et Saba</t>
  </si>
  <si>
    <t xml:space="preserve">BONAIRE, SAINT-EUSTACHE ET SABA</t>
  </si>
  <si>
    <t>Bosnie-Herzégovine</t>
  </si>
  <si>
    <t>BOSNIE-HERZEGOVINE</t>
  </si>
  <si>
    <t>Botswana</t>
  </si>
  <si>
    <t>BOTSWANA</t>
  </si>
  <si>
    <t>Brésil</t>
  </si>
  <si>
    <t>BRESIL</t>
  </si>
  <si>
    <t xml:space="preserve">Brunéi Darussalam</t>
  </si>
  <si>
    <t xml:space="preserve">BRUNEI DARUSSALAM</t>
  </si>
  <si>
    <t>Bulgarie</t>
  </si>
  <si>
    <t>BULGARIE</t>
  </si>
  <si>
    <t xml:space="preserve">Burkina Faso</t>
  </si>
  <si>
    <t xml:space="preserve">BURKINA FASO</t>
  </si>
  <si>
    <t>Burundi</t>
  </si>
  <si>
    <t>BURUNDI</t>
  </si>
  <si>
    <t>Cambodge</t>
  </si>
  <si>
    <t>CAMBODGE</t>
  </si>
  <si>
    <t>Cameroun</t>
  </si>
  <si>
    <t>CAMEROUN</t>
  </si>
  <si>
    <t>Canada</t>
  </si>
  <si>
    <t>CANADA</t>
  </si>
  <si>
    <t>Cap-Vert</t>
  </si>
  <si>
    <t>CAP-VERT</t>
  </si>
  <si>
    <t>Chili</t>
  </si>
  <si>
    <t>CHILI</t>
  </si>
  <si>
    <t>Chine</t>
  </si>
  <si>
    <t>CHINE</t>
  </si>
  <si>
    <t xml:space="preserve">Christmas, Île</t>
  </si>
  <si>
    <t xml:space="preserve">CHRISTMAS, ILE</t>
  </si>
  <si>
    <t>Chypre</t>
  </si>
  <si>
    <t>CHYPRE</t>
  </si>
  <si>
    <t> </t>
  </si>
  <si>
    <t xml:space="preserve">Cocos (Keeling), Îles</t>
  </si>
  <si>
    <t xml:space="preserve">COCOS (KEELING), ILES</t>
  </si>
  <si>
    <t>Colombie</t>
  </si>
  <si>
    <t>COLOMBIE</t>
  </si>
  <si>
    <t>Comores</t>
  </si>
  <si>
    <t>COMORES</t>
  </si>
  <si>
    <t xml:space="preserve">Corée, République de</t>
  </si>
  <si>
    <t xml:space="preserve">COREE, REPUBLIQUE DE</t>
  </si>
  <si>
    <t xml:space="preserve">Corée, République populaire démocratique de</t>
  </si>
  <si>
    <t xml:space="preserve">COREE, REPUBLIQUE POPULAIRE DEMOCRATIQUE DE</t>
  </si>
  <si>
    <t xml:space="preserve">Costa Rica</t>
  </si>
  <si>
    <t xml:space="preserve">COSTA RICA</t>
  </si>
  <si>
    <t xml:space="preserve">Côte d'Ivoire</t>
  </si>
  <si>
    <t xml:space="preserve">COTE D'IVOIRE</t>
  </si>
  <si>
    <t>Croatie</t>
  </si>
  <si>
    <t>CROATIE</t>
  </si>
  <si>
    <t>Cuba</t>
  </si>
  <si>
    <t>CUBA</t>
  </si>
  <si>
    <t>Curaçao</t>
  </si>
  <si>
    <t>CURAÇAO</t>
  </si>
  <si>
    <t>Danemark</t>
  </si>
  <si>
    <t>DANEMARK</t>
  </si>
  <si>
    <t>Djibouti</t>
  </si>
  <si>
    <t>DJIBOUTI</t>
  </si>
  <si>
    <t>Dominique</t>
  </si>
  <si>
    <t>DOMINIQUE</t>
  </si>
  <si>
    <t>Égypte</t>
  </si>
  <si>
    <t>EGYPTE</t>
  </si>
  <si>
    <t xml:space="preserve">Émirats arabes unis</t>
  </si>
  <si>
    <t xml:space="preserve">EMIRATS ARABES UNIS</t>
  </si>
  <si>
    <t>Équateur</t>
  </si>
  <si>
    <t>EQUATEUR</t>
  </si>
  <si>
    <t>Érythrée</t>
  </si>
  <si>
    <t>ERYTHREE</t>
  </si>
  <si>
    <t>Espagne</t>
  </si>
  <si>
    <t>ESPAGNE</t>
  </si>
  <si>
    <t>Estonie</t>
  </si>
  <si>
    <t>ESTONIE</t>
  </si>
  <si>
    <t>Eswatini</t>
  </si>
  <si>
    <t>ESWATINI</t>
  </si>
  <si>
    <t>États-Unis</t>
  </si>
  <si>
    <t>ETATS-UNIS</t>
  </si>
  <si>
    <t>Éthiopie</t>
  </si>
  <si>
    <t>ETHIOPIE</t>
  </si>
  <si>
    <t>Fidji</t>
  </si>
  <si>
    <t>FIDJI</t>
  </si>
  <si>
    <t>Finlande</t>
  </si>
  <si>
    <t>FINLANDE</t>
  </si>
  <si>
    <t>Gabon</t>
  </si>
  <si>
    <t>GABON</t>
  </si>
  <si>
    <t>Gambie</t>
  </si>
  <si>
    <t>GAMBIE</t>
  </si>
  <si>
    <t>Géorgie</t>
  </si>
  <si>
    <t>GEORGIE</t>
  </si>
  <si>
    <t xml:space="preserve">Géorgie du Sud et les îles Sandwich du Sud</t>
  </si>
  <si>
    <t xml:space="preserve">GEORGIE DU SUD ET LES ILES SANDWICH DU SUD</t>
  </si>
  <si>
    <t>Ghana</t>
  </si>
  <si>
    <t>GHANA</t>
  </si>
  <si>
    <t>Gibraltar</t>
  </si>
  <si>
    <t>GIBRALTAR</t>
  </si>
  <si>
    <t>Grèce</t>
  </si>
  <si>
    <t>GRECE</t>
  </si>
  <si>
    <t>Grenade</t>
  </si>
  <si>
    <t>GRENADE</t>
  </si>
  <si>
    <t>Groënland</t>
  </si>
  <si>
    <t>GROENLAND</t>
  </si>
  <si>
    <t>Guam</t>
  </si>
  <si>
    <t>GUAM</t>
  </si>
  <si>
    <t>Guatemala</t>
  </si>
  <si>
    <t>GUATEMALA</t>
  </si>
  <si>
    <t>Guernesey</t>
  </si>
  <si>
    <t>GUERNESEY</t>
  </si>
  <si>
    <t>Guinée</t>
  </si>
  <si>
    <t>GUINEE</t>
  </si>
  <si>
    <t xml:space="preserve">Guinée Équatoriale</t>
  </si>
  <si>
    <t xml:space="preserve">GUINEE EQUATORIALE</t>
  </si>
  <si>
    <t>Guinée-Bissau</t>
  </si>
  <si>
    <t>GUINEE-BISSAU</t>
  </si>
  <si>
    <t>Guyana</t>
  </si>
  <si>
    <t>GUYANA</t>
  </si>
  <si>
    <t>Haïti</t>
  </si>
  <si>
    <t>HAITI</t>
  </si>
  <si>
    <t>Honduras</t>
  </si>
  <si>
    <t>HONDURAS</t>
  </si>
  <si>
    <t xml:space="preserve">Hong Kong</t>
  </si>
  <si>
    <t xml:space="preserve">HONG KONG</t>
  </si>
  <si>
    <t>Hongrie</t>
  </si>
  <si>
    <t>HONGRIE</t>
  </si>
  <si>
    <t xml:space="preserve">île Bouvet</t>
  </si>
  <si>
    <t xml:space="preserve">ILE BOUVET</t>
  </si>
  <si>
    <t xml:space="preserve">île Norfolk</t>
  </si>
  <si>
    <t xml:space="preserve">ILE NORFOLK</t>
  </si>
  <si>
    <t xml:space="preserve">Île de Man</t>
  </si>
  <si>
    <t xml:space="preserve">ILE DE MAN</t>
  </si>
  <si>
    <t xml:space="preserve">îles Caïmans</t>
  </si>
  <si>
    <t xml:space="preserve">ILES CAIMANS</t>
  </si>
  <si>
    <t xml:space="preserve">îles Cook</t>
  </si>
  <si>
    <t xml:space="preserve">ILES COOK</t>
  </si>
  <si>
    <t xml:space="preserve">îles Féroé</t>
  </si>
  <si>
    <t xml:space="preserve">ILES FEROE</t>
  </si>
  <si>
    <t xml:space="preserve">îles Heard-et-MacDonald</t>
  </si>
  <si>
    <t xml:space="preserve">ILES HEARD-ET-MACDONALD</t>
  </si>
  <si>
    <t xml:space="preserve">Îles Mariannes du Nord</t>
  </si>
  <si>
    <t xml:space="preserve">ILES MARIANNES DU NORD</t>
  </si>
  <si>
    <t xml:space="preserve">Îles Marshall</t>
  </si>
  <si>
    <t xml:space="preserve">ILES MARSHALL</t>
  </si>
  <si>
    <t xml:space="preserve">Îles Pitcairn</t>
  </si>
  <si>
    <t xml:space="preserve">ILES PITCAIRN</t>
  </si>
  <si>
    <t xml:space="preserve">îles Turques-et-Caïques</t>
  </si>
  <si>
    <t xml:space="preserve">ILES TURQUES-ET-CAIQUES</t>
  </si>
  <si>
    <t xml:space="preserve">Îles Vierges britanniques</t>
  </si>
  <si>
    <t xml:space="preserve">ILES VIERGES BRITANNIQUES</t>
  </si>
  <si>
    <t xml:space="preserve">Îles Vierges des États-Unis</t>
  </si>
  <si>
    <t xml:space="preserve">ILES VIERGES DES ETATS-UNIS</t>
  </si>
  <si>
    <t xml:space="preserve">Îles mineures éloignées des États-Unis</t>
  </si>
  <si>
    <t xml:space="preserve">ILES MINEURES ELOIGNEES DES ETATS-UNIS</t>
  </si>
  <si>
    <t>Inde</t>
  </si>
  <si>
    <t>INDE</t>
  </si>
  <si>
    <t>Indonésie</t>
  </si>
  <si>
    <t>INDONESIE</t>
  </si>
  <si>
    <t>Irak</t>
  </si>
  <si>
    <t>IRAK</t>
  </si>
  <si>
    <t xml:space="preserve">Iran, République islamique d'</t>
  </si>
  <si>
    <t xml:space="preserve">IRAN, REPUBLIQUE ISLAMIQUE D'</t>
  </si>
  <si>
    <t>Irlande</t>
  </si>
  <si>
    <t>IRLANDE</t>
  </si>
  <si>
    <t>Islande</t>
  </si>
  <si>
    <t>ISLANDE</t>
  </si>
  <si>
    <t>Israël</t>
  </si>
  <si>
    <t>ISRAEL</t>
  </si>
  <si>
    <t>Italie</t>
  </si>
  <si>
    <t>ITALIE</t>
  </si>
  <si>
    <t>Jamaïque</t>
  </si>
  <si>
    <t>JAMAIQUE</t>
  </si>
  <si>
    <t>Japon</t>
  </si>
  <si>
    <t>JAPON</t>
  </si>
  <si>
    <t>Jersey</t>
  </si>
  <si>
    <t>JERSEY</t>
  </si>
  <si>
    <t>Jordanie</t>
  </si>
  <si>
    <t>JORDANIE</t>
  </si>
  <si>
    <t>Kazakhstan</t>
  </si>
  <si>
    <t>KAZAKHSTAN</t>
  </si>
  <si>
    <t>Kenya</t>
  </si>
  <si>
    <t>KENYA</t>
  </si>
  <si>
    <t>Kirghizistan</t>
  </si>
  <si>
    <t>KIRGHIZISTAN</t>
  </si>
  <si>
    <t>Kiribati</t>
  </si>
  <si>
    <t>KIRIBATI</t>
  </si>
  <si>
    <t>Kosovo</t>
  </si>
  <si>
    <t>KOSOVO</t>
  </si>
  <si>
    <t>Koweït</t>
  </si>
  <si>
    <t>KOWEIT</t>
  </si>
  <si>
    <t xml:space="preserve">Lao, République démocratique populaire</t>
  </si>
  <si>
    <t xml:space="preserve">LAO, REPUBLIQUE DEMOCRATIQUE POPULAIRE</t>
  </si>
  <si>
    <t>Lesotho</t>
  </si>
  <si>
    <t>LESOTHO</t>
  </si>
  <si>
    <t>Lettonie</t>
  </si>
  <si>
    <t>LETTONIE</t>
  </si>
  <si>
    <t>Liban</t>
  </si>
  <si>
    <t>LIBAN</t>
  </si>
  <si>
    <t>Libéria</t>
  </si>
  <si>
    <t>LIBERIA</t>
  </si>
  <si>
    <t>Libye</t>
  </si>
  <si>
    <t>LIBYE</t>
  </si>
  <si>
    <t>Liechtenstein</t>
  </si>
  <si>
    <t>LIECHTENSTEIN</t>
  </si>
  <si>
    <t>Lituanie</t>
  </si>
  <si>
    <t>LITUANIE</t>
  </si>
  <si>
    <t>Luxembourg</t>
  </si>
  <si>
    <t>LUXEMBOURG</t>
  </si>
  <si>
    <t>Macau</t>
  </si>
  <si>
    <t>MACAU</t>
  </si>
  <si>
    <t xml:space="preserve">Macédoine du Nord</t>
  </si>
  <si>
    <t xml:space="preserve">MACEDOINE DU NORD</t>
  </si>
  <si>
    <t>Madagascar</t>
  </si>
  <si>
    <t>MADAGASCAR</t>
  </si>
  <si>
    <t>Malaisie</t>
  </si>
  <si>
    <t>MALAISIE</t>
  </si>
  <si>
    <t>Malawi</t>
  </si>
  <si>
    <t>MALAWI</t>
  </si>
  <si>
    <t>Maldives</t>
  </si>
  <si>
    <t>MALDIVES</t>
  </si>
  <si>
    <t>Mali</t>
  </si>
  <si>
    <t>MALI</t>
  </si>
  <si>
    <t xml:space="preserve">Malouines, Îles (Falkland)</t>
  </si>
  <si>
    <t xml:space="preserve">MALOUINES, ILES (FALKLAND)</t>
  </si>
  <si>
    <t>Malte</t>
  </si>
  <si>
    <t>MALTE</t>
  </si>
  <si>
    <t>Maroc</t>
  </si>
  <si>
    <t>MAROC</t>
  </si>
  <si>
    <t>Maurice</t>
  </si>
  <si>
    <t>MAURICE</t>
  </si>
  <si>
    <t>Mauritanie</t>
  </si>
  <si>
    <t>MAURITANIE</t>
  </si>
  <si>
    <t>Mexique</t>
  </si>
  <si>
    <t>MEXIQUE</t>
  </si>
  <si>
    <t xml:space="preserve">Micronésie, États fédérés de</t>
  </si>
  <si>
    <t xml:space="preserve">MICRONESIE, ETATS FEDERES DE</t>
  </si>
  <si>
    <t>Moldavie</t>
  </si>
  <si>
    <t>MOLDAVIE</t>
  </si>
  <si>
    <t>Monaco</t>
  </si>
  <si>
    <t>MONACO</t>
  </si>
  <si>
    <t>Mongolie</t>
  </si>
  <si>
    <t>MONGOLIE</t>
  </si>
  <si>
    <t>Monténégro</t>
  </si>
  <si>
    <t>MONTENEGRO</t>
  </si>
  <si>
    <t>Montserrat</t>
  </si>
  <si>
    <t>MONTSERRAT</t>
  </si>
  <si>
    <t>Mozambique</t>
  </si>
  <si>
    <t>MOZAMBIQUE</t>
  </si>
  <si>
    <t>Namibie</t>
  </si>
  <si>
    <t>NAMIBIE</t>
  </si>
  <si>
    <t>Nauru</t>
  </si>
  <si>
    <t>NAURU</t>
  </si>
  <si>
    <t>Népal</t>
  </si>
  <si>
    <t>NEPAL</t>
  </si>
  <si>
    <t>Nicaragua</t>
  </si>
  <si>
    <t>NICARAGUA</t>
  </si>
  <si>
    <t>Niger</t>
  </si>
  <si>
    <t>NIGER</t>
  </si>
  <si>
    <t>Nigeria</t>
  </si>
  <si>
    <t>NIGERIA</t>
  </si>
  <si>
    <t>Nioue</t>
  </si>
  <si>
    <t>NIOUE</t>
  </si>
  <si>
    <t>Norvège</t>
  </si>
  <si>
    <t>NORVEGE</t>
  </si>
  <si>
    <t>Nouvelle-Zélande</t>
  </si>
  <si>
    <t>NOUVELLE-ZELANDE</t>
  </si>
  <si>
    <t>Oman</t>
  </si>
  <si>
    <t>OMAN</t>
  </si>
  <si>
    <t>Ouganda</t>
  </si>
  <si>
    <t>OUGANDA</t>
  </si>
  <si>
    <t>Ouzbékistan</t>
  </si>
  <si>
    <t>OUZBEKISTAN</t>
  </si>
  <si>
    <t>Pakistan</t>
  </si>
  <si>
    <t>PAKISTAN</t>
  </si>
  <si>
    <t>Palaos</t>
  </si>
  <si>
    <t>PALAOS</t>
  </si>
  <si>
    <t xml:space="preserve">Palestine, État de</t>
  </si>
  <si>
    <t xml:space="preserve">PALESTINE, ETAT DE</t>
  </si>
  <si>
    <t>Panama</t>
  </si>
  <si>
    <t>PANAMA</t>
  </si>
  <si>
    <t>Papouasie-Nouvelle-Guinée</t>
  </si>
  <si>
    <t>PAPOUASIE-NOUVELLE-GUINEE</t>
  </si>
  <si>
    <t>Paraguay</t>
  </si>
  <si>
    <t>PARAGUAY</t>
  </si>
  <si>
    <t>Pays-Bas</t>
  </si>
  <si>
    <t>PAYS-BAS</t>
  </si>
  <si>
    <t>Pérou</t>
  </si>
  <si>
    <t>PEROU</t>
  </si>
  <si>
    <t>Philippines</t>
  </si>
  <si>
    <t>PHILIPPINES</t>
  </si>
  <si>
    <t>Pologne</t>
  </si>
  <si>
    <t>POLOGNE</t>
  </si>
  <si>
    <t xml:space="preserve">Porto Rico</t>
  </si>
  <si>
    <t xml:space="preserve">PORTO RICO</t>
  </si>
  <si>
    <t>Portugal</t>
  </si>
  <si>
    <t>PORTUGAL</t>
  </si>
  <si>
    <t>Qatar</t>
  </si>
  <si>
    <t>QATAR</t>
  </si>
  <si>
    <t xml:space="preserve">République centrafricaine</t>
  </si>
  <si>
    <t xml:space="preserve">REPUBLIQUE CENTRAFRICAINE</t>
  </si>
  <si>
    <t xml:space="preserve">République démocratique du Congo</t>
  </si>
  <si>
    <t xml:space="preserve">REPUBLIQUE DEMOCRATIQUE DU CONGO</t>
  </si>
  <si>
    <t xml:space="preserve">République dominicaine</t>
  </si>
  <si>
    <t xml:space="preserve">REPUBLIQUE DOMINICAINE</t>
  </si>
  <si>
    <t xml:space="preserve">République du Congo</t>
  </si>
  <si>
    <t xml:space="preserve">REPUBLIQUE DU CONGO</t>
  </si>
  <si>
    <t>Roumanie</t>
  </si>
  <si>
    <t>ROUMANIE</t>
  </si>
  <si>
    <t>Royaume-Uni</t>
  </si>
  <si>
    <t>ROYAUME-UNI</t>
  </si>
  <si>
    <t xml:space="preserve">Russie, Fédération de</t>
  </si>
  <si>
    <t xml:space="preserve">RUSSIE, FEDERATION DE</t>
  </si>
  <si>
    <t>Rwanda</t>
  </si>
  <si>
    <t>RWANDA</t>
  </si>
  <si>
    <t xml:space="preserve">Sahara occidental</t>
  </si>
  <si>
    <t xml:space="preserve">SAHARA OCCIDENTAL</t>
  </si>
  <si>
    <t>Saint-Christophe-et-Niévès</t>
  </si>
  <si>
    <t>SAINT-CHRISTOPHE-ET-NIEVES</t>
  </si>
  <si>
    <t>Saint-Marin</t>
  </si>
  <si>
    <t>SAINT-MARIN</t>
  </si>
  <si>
    <t xml:space="preserve">Saint-Martin (partie néerlandaise)</t>
  </si>
  <si>
    <t xml:space="preserve">SAINT-MARTIN (PARTIE NEERLANDAISE)</t>
  </si>
  <si>
    <t xml:space="preserve">Saint-Siège (état de la cité du Vatican)</t>
  </si>
  <si>
    <t xml:space="preserve">SAINT-SIEGE (ETAT DE LA CITE DU VATICAN)</t>
  </si>
  <si>
    <t>Saint-Vincent-et-les-Grenadines</t>
  </si>
  <si>
    <t>SAINT-VINCENT-ET-LES-GRENADINES</t>
  </si>
  <si>
    <t xml:space="preserve">Sainte-Hélène, Ascension et Tristan da Cunha</t>
  </si>
  <si>
    <t xml:space="preserve">SAINTE-HELENE, ASCENSION ET TRISTAN DA CUNHA</t>
  </si>
  <si>
    <t>Sainte-Lucie</t>
  </si>
  <si>
    <t>SAINTE-LUCIE</t>
  </si>
  <si>
    <t xml:space="preserve">Salomon, Îles</t>
  </si>
  <si>
    <t xml:space="preserve">SALOMON, ILES</t>
  </si>
  <si>
    <t>Salvador</t>
  </si>
  <si>
    <t>SALVADOR</t>
  </si>
  <si>
    <t>Samoa</t>
  </si>
  <si>
    <t>SAMOA</t>
  </si>
  <si>
    <t xml:space="preserve">Samoa américaines</t>
  </si>
  <si>
    <t xml:space="preserve">SAMOA AMERICAINES</t>
  </si>
  <si>
    <t xml:space="preserve">Sao Tomé-et-Principe</t>
  </si>
  <si>
    <t xml:space="preserve">SAO TOME-ET-PRINCIPE</t>
  </si>
  <si>
    <t>Sénégal</t>
  </si>
  <si>
    <t>SENEGAL</t>
  </si>
  <si>
    <t>Serbie</t>
  </si>
  <si>
    <t>SERBIE</t>
  </si>
  <si>
    <t>Seychelles</t>
  </si>
  <si>
    <t>SEYCHELLES</t>
  </si>
  <si>
    <t xml:space="preserve">Sierra Leone</t>
  </si>
  <si>
    <t xml:space="preserve">SIERRA LEONE</t>
  </si>
  <si>
    <t>Singapour</t>
  </si>
  <si>
    <t>SINGAPOUR</t>
  </si>
  <si>
    <t>Slovaquie</t>
  </si>
  <si>
    <t>SLOVAQUIE</t>
  </si>
  <si>
    <t>Slovénie</t>
  </si>
  <si>
    <t>SLOVENIE</t>
  </si>
  <si>
    <t>Somalie</t>
  </si>
  <si>
    <t>SOMALIE</t>
  </si>
  <si>
    <t>Soudan</t>
  </si>
  <si>
    <t>SOUDAN</t>
  </si>
  <si>
    <t xml:space="preserve">Soudan du Sud</t>
  </si>
  <si>
    <t xml:space="preserve">SOUDAN DU SUD</t>
  </si>
  <si>
    <t xml:space="preserve">Sri Lanka</t>
  </si>
  <si>
    <t xml:space="preserve">SRI LANKA</t>
  </si>
  <si>
    <t>Suède</t>
  </si>
  <si>
    <t>SUEDE</t>
  </si>
  <si>
    <t>Suisse</t>
  </si>
  <si>
    <t>SUISSE</t>
  </si>
  <si>
    <t>Surinam</t>
  </si>
  <si>
    <t>SURINAM</t>
  </si>
  <si>
    <t xml:space="preserve">Svalbard et île Jan Mayen</t>
  </si>
  <si>
    <t xml:space="preserve">SVALBARD ET ILE JAN MAYEN</t>
  </si>
  <si>
    <t xml:space="preserve">Syrienne, République arabe</t>
  </si>
  <si>
    <t xml:space="preserve">SYRIENNE, REPUBLIQUE ARABE</t>
  </si>
  <si>
    <t>Tadjikistan</t>
  </si>
  <si>
    <t>TADJIKISTAN</t>
  </si>
  <si>
    <t>Taïwan</t>
  </si>
  <si>
    <t>TAIWAN</t>
  </si>
  <si>
    <t>Tanzanie</t>
  </si>
  <si>
    <t>TANZANIE</t>
  </si>
  <si>
    <t>Tchad</t>
  </si>
  <si>
    <t>TCHAD</t>
  </si>
  <si>
    <t>Tchéquie</t>
  </si>
  <si>
    <t>TCHEQUIE</t>
  </si>
  <si>
    <t xml:space="preserve">Territoire britannique de l'océan Indien</t>
  </si>
  <si>
    <t xml:space="preserve">TERRITOIRE BRITANNIQUE DE L'OCEAN INDIEN</t>
  </si>
  <si>
    <t>Thaïlande</t>
  </si>
  <si>
    <t>THAILANDE</t>
  </si>
  <si>
    <t xml:space="preserve">Timor oriental</t>
  </si>
  <si>
    <t xml:space="preserve">TIMOR ORIENTAL</t>
  </si>
  <si>
    <t>Togo</t>
  </si>
  <si>
    <t>TOGO</t>
  </si>
  <si>
    <t>Tokelau</t>
  </si>
  <si>
    <t>TOKELAU</t>
  </si>
  <si>
    <t>Tonga</t>
  </si>
  <si>
    <t>TONGA</t>
  </si>
  <si>
    <t>Trinité-et-Tobago</t>
  </si>
  <si>
    <t>TRINITE-ET-TOBAGO</t>
  </si>
  <si>
    <t>Tunisie</t>
  </si>
  <si>
    <t>TUNISIE</t>
  </si>
  <si>
    <t>Turkménistan</t>
  </si>
  <si>
    <t>TURKMENISTAN</t>
  </si>
  <si>
    <t>Turquie</t>
  </si>
  <si>
    <t>TURQUIE</t>
  </si>
  <si>
    <t>Tuvalu</t>
  </si>
  <si>
    <t>TUVALU</t>
  </si>
  <si>
    <t>Ukraine</t>
  </si>
  <si>
    <t>UKRAINE</t>
  </si>
  <si>
    <t>Uruguay</t>
  </si>
  <si>
    <t>URUGUAY</t>
  </si>
  <si>
    <t>Vanuatu</t>
  </si>
  <si>
    <t>VANUATU</t>
  </si>
  <si>
    <t>Vénézuela</t>
  </si>
  <si>
    <t>VENEZUELA</t>
  </si>
  <si>
    <t xml:space="preserve">Viêt Nam</t>
  </si>
  <si>
    <t xml:space="preserve">VIET NAM</t>
  </si>
  <si>
    <t>Yémen</t>
  </si>
  <si>
    <t>YEMEN</t>
  </si>
  <si>
    <t>Zambie</t>
  </si>
  <si>
    <t>ZAMBIE</t>
  </si>
  <si>
    <t>Zimbabwe</t>
  </si>
  <si>
    <t>ZIMBABWE</t>
  </si>
  <si>
    <t xml:space="preserve">NOMENCLATURE DES PAYS</t>
  </si>
  <si>
    <t xml:space="preserve">Vous trouverez ci-dessous le libellé des pays à indiquer le tableau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</si>
</sst>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name val="Calibri"/>
      <color theme="1"/>
      <sz val="11.000000"/>
    </font>
    <font>
      <name val="Helvetica Neue"/>
      <color rgb="FF9C6500"/>
      <sz val="11.000000"/>
      <scheme val="minor"/>
    </font>
    <font>
      <name val="Calibri"/>
      <color theme="1"/>
      <sz val="10.000000"/>
    </font>
    <font>
      <name val="Arial"/>
      <b/>
      <color rgb="FF2F5597"/>
      <sz val="12.000000"/>
    </font>
    <font>
      <name val="Arial"/>
      <color rgb="FF2F5597"/>
      <sz val="12.000000"/>
    </font>
    <font>
      <name val="Times New Roman"/>
      <color indexed="64"/>
      <sz val="10.000000"/>
    </font>
    <font>
      <name val="Arial"/>
      <color theme="1"/>
      <sz val="10.000000"/>
    </font>
    <font>
      <name val="Arial"/>
      <color indexed="65"/>
      <sz val="11.000000"/>
    </font>
    <font>
      <name val="Arial"/>
      <sz val="9.000000"/>
    </font>
    <font>
      <name val="Arial"/>
      <sz val="10.000000"/>
    </font>
    <font>
      <name val="Helvetica Neue"/>
      <color theme="1"/>
      <sz val="11.000000"/>
      <scheme val="minor"/>
    </font>
  </fonts>
  <fills count="7">
    <fill>
      <patternFill patternType="none"/>
    </fill>
    <fill>
      <patternFill patternType="gray125"/>
    </fill>
    <fill>
      <patternFill patternType="solid">
        <fgColor rgb="FFFFEB9C"/>
        <bgColor rgb="FFFFEB9C"/>
      </patternFill>
    </fill>
    <fill>
      <patternFill patternType="solid">
        <fgColor rgb="FFF5F5FE"/>
        <bgColor rgb="FFF5F5FE"/>
      </patternFill>
    </fill>
    <fill>
      <patternFill patternType="solid">
        <fgColor indexed="65"/>
        <bgColor indexed="65"/>
      </patternFill>
    </fill>
    <fill>
      <patternFill patternType="solid">
        <fgColor rgb="FF5B9BD5"/>
        <bgColor rgb="FF5B9BD5"/>
      </patternFill>
    </fill>
    <fill>
      <patternFill patternType="solid">
        <fgColor theme="0"/>
        <bgColor theme="0"/>
      </patternFill>
    </fill>
  </fills>
  <borders count="22">
    <border>
      <left/>
      <right/>
      <top/>
      <bottom/>
      <diagonal/>
    </border>
    <border>
      <left style="thick">
        <color rgb="FFD0CECE"/>
      </left>
      <right style="thick">
        <color rgb="FFD0CECE"/>
      </right>
      <top style="thin">
        <color rgb="FFAAAAAA"/>
      </top>
      <bottom/>
      <diagonal/>
    </border>
    <border>
      <left style="thick">
        <color rgb="FFD0CECE"/>
      </left>
      <right/>
      <top style="thin">
        <color rgb="FFAAAAAA"/>
      </top>
      <bottom/>
      <diagonal/>
    </border>
    <border>
      <left/>
      <right/>
      <top style="thin">
        <color rgb="FFAAAAAA"/>
      </top>
      <bottom/>
      <diagonal/>
    </border>
    <border>
      <left/>
      <right style="thick">
        <color rgb="FFD0CECE"/>
      </right>
      <top style="thin">
        <color rgb="FFAAAAAA"/>
      </top>
      <bottom/>
      <diagonal/>
    </border>
    <border>
      <left style="thick">
        <color rgb="FFD0CECE"/>
      </left>
      <right style="thick">
        <color rgb="FFD0CECE"/>
      </right>
      <top/>
      <bottom style="thick">
        <color rgb="FFD0CECE"/>
      </bottom>
      <diagonal/>
    </border>
    <border>
      <left style="thick">
        <color rgb="FFD0CECE"/>
      </left>
      <right style="thick">
        <color rgb="FFD0CECE"/>
      </right>
      <top/>
      <bottom/>
      <diagonal/>
    </border>
    <border>
      <left style="thick">
        <color rgb="FFD0CECE"/>
      </left>
      <right/>
      <top/>
      <bottom/>
      <diagonal/>
    </border>
    <border>
      <left style="thick">
        <color rgb="FFD0CECE"/>
      </left>
      <right style="thick">
        <color rgb="FFD0CECE"/>
      </right>
      <top style="thick">
        <color rgb="FFD0CECE"/>
      </top>
      <bottom/>
      <diagonal/>
    </border>
    <border>
      <left style="thick">
        <color rgb="FFD0CECE"/>
      </left>
      <right/>
      <top style="thick">
        <color rgb="FFD0CECE"/>
      </top>
      <bottom/>
      <diagonal/>
    </border>
    <border>
      <left/>
      <right/>
      <top style="thick">
        <color rgb="FFD0CECE"/>
      </top>
      <bottom/>
      <diagonal/>
    </border>
    <border>
      <left/>
      <right/>
      <top style="medium">
        <color rgb="FFD0CECE"/>
      </top>
      <bottom/>
      <diagonal/>
    </border>
    <border>
      <left style="thick">
        <color rgb="FFD0CECE"/>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top/>
      <bottom style="thin">
        <color rgb="FFAAAAAA"/>
      </bottom>
      <diagonal/>
    </border>
    <border>
      <left style="thick">
        <color rgb="FFD0CECE"/>
      </left>
      <right style="thick">
        <color rgb="FFD0CECE"/>
      </right>
      <top/>
      <bottom style="thin">
        <color rgb="FFAAAAAA"/>
      </bottom>
      <diagonal/>
    </border>
    <border>
      <left/>
      <right/>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ck">
        <color rgb="FFD0CECE"/>
      </left>
      <right style="thin">
        <color rgb="FFAAAAAA"/>
      </right>
      <top style="thin">
        <color rgb="FFAAAAAA"/>
      </top>
      <bottom style="thin">
        <color rgb="FFAAAAAA"/>
      </bottom>
      <diagonal/>
    </border>
    <border>
      <left style="thick">
        <color rgb="FFD0CECE"/>
      </left>
      <right style="thick">
        <color rgb="FFD0CECE"/>
      </right>
      <top style="thin">
        <color rgb="FFAAAAAA"/>
      </top>
      <bottom style="thin">
        <color rgb="FFAAAAAA"/>
      </bottom>
      <diagonal/>
    </border>
    <border>
      <left/>
      <right style="thin">
        <color rgb="FFAAAAAA"/>
      </right>
      <top style="thin">
        <color rgb="FFAAAAAA"/>
      </top>
      <bottom style="thin">
        <color rgb="FFAAAAAA"/>
      </bottom>
      <diagonal/>
    </border>
  </borders>
  <cellStyleXfs count="2">
    <xf fontId="0" fillId="0" borderId="0" numFmtId="0" applyNumberFormat="0" applyFont="1" applyFill="0" applyBorder="0" applyProtection="0"/>
    <xf fontId="1" fillId="2" borderId="0" numFmtId="0" applyNumberFormat="0" applyFont="1" applyFill="1" applyBorder="0" applyProtection="0"/>
  </cellStyleXfs>
  <cellXfs count="64">
    <xf fontId="0" fillId="0" borderId="0" numFmtId="0" xfId="0"/>
    <xf fontId="0" fillId="0" borderId="0" numFmtId="0" xfId="0"/>
    <xf fontId="2" fillId="0" borderId="0" numFmtId="0" xfId="0" applyFont="1" applyAlignment="1">
      <alignment horizontal="justify" wrapText="1"/>
    </xf>
    <xf fontId="0" fillId="0" borderId="0" numFmtId="0" xfId="0" applyProtection="1"/>
    <xf fontId="2" fillId="0" borderId="0" numFmtId="0" xfId="0" applyFont="1" applyAlignment="1">
      <alignment horizontal="left" vertical="top" wrapText="1"/>
    </xf>
    <xf fontId="3" fillId="3" borderId="1" numFmtId="49" xfId="0" applyNumberFormat="1" applyFont="1" applyFill="1" applyBorder="1" applyAlignment="1">
      <alignment horizontal="center" vertical="top" wrapText="1"/>
    </xf>
    <xf fontId="3" fillId="3" borderId="1" numFmtId="14" xfId="0" applyNumberFormat="1" applyFont="1" applyFill="1" applyBorder="1" applyAlignment="1">
      <alignment horizontal="center" vertical="top" wrapText="1"/>
    </xf>
    <xf fontId="0" fillId="4" borderId="1" numFmtId="1" xfId="0" applyNumberFormat="1" applyFill="1" applyBorder="1"/>
    <xf fontId="4" fillId="3" borderId="2" numFmtId="49" xfId="0" applyNumberFormat="1" applyFont="1" applyFill="1" applyBorder="1" applyAlignment="1" applyProtection="1">
      <alignment horizontal="center" vertical="top" wrapText="1"/>
    </xf>
    <xf fontId="0" fillId="0" borderId="3" numFmtId="0" xfId="0" applyBorder="1" applyAlignment="1">
      <alignment horizontal="center" vertical="top" wrapText="1"/>
    </xf>
    <xf fontId="0" fillId="0" borderId="4" numFmtId="0" xfId="0" applyBorder="1" applyAlignment="1">
      <alignment horizontal="center" vertical="top" wrapText="1"/>
    </xf>
    <xf fontId="4" fillId="3" borderId="2" numFmtId="49" xfId="0" applyNumberFormat="1" applyFont="1" applyFill="1" applyBorder="1" applyAlignment="1">
      <alignment horizontal="center" vertical="top" wrapText="1"/>
    </xf>
    <xf fontId="0" fillId="0" borderId="3" numFmtId="0" xfId="0" applyBorder="1" applyProtection="1"/>
    <xf fontId="0" fillId="4" borderId="0" numFmtId="1" xfId="0" applyNumberFormat="1" applyFill="1" applyProtection="1"/>
    <xf fontId="5" fillId="0" borderId="0" numFmtId="0" xfId="0" applyFont="1" applyAlignment="1">
      <alignment horizontal="left" vertical="top" wrapText="1"/>
    </xf>
    <xf fontId="4" fillId="3" borderId="5" numFmtId="49" xfId="0" applyNumberFormat="1" applyFont="1" applyFill="1" applyBorder="1" applyAlignment="1">
      <alignment horizontal="left" vertical="top" wrapText="1"/>
    </xf>
    <xf fontId="0" fillId="4" borderId="5" numFmtId="1" xfId="0" applyNumberFormat="1" applyFill="1" applyBorder="1"/>
    <xf fontId="4" fillId="3" borderId="5" numFmtId="49" xfId="0" applyNumberFormat="1" applyFont="1" applyFill="1" applyBorder="1" applyAlignment="1" applyProtection="1">
      <alignment horizontal="left" vertical="top" wrapText="1"/>
    </xf>
    <xf fontId="4" fillId="3" borderId="6" numFmtId="49" xfId="0" applyNumberFormat="1" applyFont="1" applyFill="1" applyBorder="1" applyAlignment="1" applyProtection="1">
      <alignment horizontal="left" vertical="top" wrapText="1"/>
    </xf>
    <xf fontId="4" fillId="3" borderId="6" numFmtId="0" xfId="0" applyFont="1" applyFill="1" applyBorder="1" applyAlignment="1" applyProtection="1">
      <alignment horizontal="left" vertical="top" wrapText="1"/>
    </xf>
    <xf fontId="4" fillId="3" borderId="7" numFmtId="49" xfId="0" applyNumberFormat="1" applyFont="1" applyFill="1" applyBorder="1" applyAlignment="1" applyProtection="1">
      <alignment horizontal="left" vertical="top" wrapText="1"/>
    </xf>
    <xf fontId="6" fillId="0" borderId="0" numFmtId="0" xfId="0" applyFont="1" applyAlignment="1">
      <alignment horizontal="left" vertical="top" wrapText="1"/>
    </xf>
    <xf fontId="7" fillId="5" borderId="8" numFmtId="49" xfId="0" applyNumberFormat="1" applyFont="1" applyFill="1" applyBorder="1" applyAlignment="1">
      <alignment horizontal="center" vertical="center" wrapText="1"/>
    </xf>
    <xf fontId="7" fillId="5" borderId="9" numFmtId="49" xfId="0" applyNumberFormat="1" applyFont="1" applyFill="1" applyBorder="1" applyAlignment="1">
      <alignment horizontal="center" vertical="center"/>
    </xf>
    <xf fontId="7" fillId="5" borderId="10" numFmtId="49" xfId="0" applyNumberFormat="1" applyFont="1" applyFill="1" applyBorder="1" applyAlignment="1" applyProtection="1">
      <alignment horizontal="center" vertical="center" wrapText="1"/>
    </xf>
    <xf fontId="7" fillId="5" borderId="10" numFmtId="49" xfId="0" applyNumberFormat="1" applyFont="1" applyFill="1" applyBorder="1" applyAlignment="1" applyProtection="1">
      <alignment horizontal="center" vertical="center"/>
    </xf>
    <xf fontId="7" fillId="5" borderId="11" numFmtId="0" xfId="0" applyFont="1" applyFill="1" applyBorder="1" applyAlignment="1" applyProtection="1">
      <alignment horizontal="center" vertical="center"/>
    </xf>
    <xf fontId="0" fillId="4" borderId="12" numFmtId="1" xfId="0" applyNumberFormat="1" applyFill="1" applyBorder="1" applyProtection="1"/>
    <xf fontId="0" fillId="4" borderId="13" numFmtId="1" xfId="0" applyNumberFormat="1" applyFill="1" applyBorder="1" applyProtection="1"/>
    <xf fontId="0" fillId="4" borderId="14" numFmtId="1" xfId="0" applyNumberFormat="1" applyFill="1" applyBorder="1" applyProtection="1"/>
    <xf fontId="7" fillId="5" borderId="6" numFmtId="49" xfId="0" applyNumberFormat="1" applyFont="1" applyFill="1" applyBorder="1" applyAlignment="1">
      <alignment horizontal="center" vertical="center" wrapText="1"/>
    </xf>
    <xf fontId="7" fillId="5" borderId="15" numFmtId="49" xfId="0" applyNumberFormat="1" applyFont="1" applyFill="1" applyBorder="1" applyAlignment="1">
      <alignment horizontal="center" vertical="center" wrapText="1"/>
    </xf>
    <xf fontId="7" fillId="5" borderId="7" numFmtId="49" xfId="0" applyNumberFormat="1" applyFont="1" applyFill="1" applyBorder="1" applyAlignment="1">
      <alignment horizontal="center" vertical="center"/>
    </xf>
    <xf fontId="7" fillId="5" borderId="16" numFmtId="49" xfId="0" applyNumberFormat="1" applyFont="1" applyFill="1" applyBorder="1" applyAlignment="1" applyProtection="1">
      <alignment horizontal="center" vertical="center" wrapText="1"/>
    </xf>
    <xf fontId="7" fillId="5" borderId="16" numFmtId="49" xfId="0" applyNumberFormat="1" applyFont="1" applyFill="1" applyBorder="1" applyAlignment="1" applyProtection="1">
      <alignment horizontal="center" vertical="center"/>
    </xf>
    <xf fontId="7" fillId="5" borderId="0" numFmtId="0" xfId="0" applyFont="1" applyFill="1" applyAlignment="1" applyProtection="1">
      <alignment horizontal="center" vertical="center"/>
    </xf>
    <xf fontId="8" fillId="4" borderId="17" numFmtId="49" xfId="0" applyNumberFormat="1" applyFont="1" applyFill="1" applyBorder="1" applyAlignment="1" applyProtection="1">
      <alignment horizontal="left"/>
    </xf>
    <xf fontId="0" fillId="4" borderId="17" numFmtId="49" xfId="0" applyNumberFormat="1" applyFill="1" applyBorder="1" applyAlignment="1" applyProtection="1">
      <alignment wrapText="1"/>
    </xf>
    <xf fontId="0" fillId="4" borderId="17" numFmtId="0" xfId="0" applyFill="1" applyBorder="1" applyProtection="1"/>
    <xf fontId="0" fillId="4" borderId="17" numFmtId="49" xfId="0" applyNumberFormat="1" applyFill="1" applyBorder="1" applyProtection="1"/>
    <xf fontId="9" fillId="4" borderId="17" numFmtId="49" xfId="0" applyNumberFormat="1" applyFont="1" applyFill="1" applyBorder="1" applyAlignment="1" applyProtection="1">
      <alignment horizontal="left"/>
    </xf>
    <xf fontId="0" fillId="4" borderId="18" numFmtId="49" xfId="0" applyNumberFormat="1" applyFill="1" applyBorder="1" applyProtection="1"/>
    <xf fontId="0" fillId="4" borderId="0" numFmtId="0" xfId="0" applyFill="1" applyProtection="1"/>
    <xf fontId="0" fillId="4" borderId="15" numFmtId="49" xfId="0" applyNumberFormat="1" applyFill="1" applyBorder="1" applyProtection="1">
      <protection locked="0"/>
    </xf>
    <xf fontId="0" fillId="4" borderId="15" numFmtId="1" xfId="0" applyNumberFormat="1" applyFill="1" applyBorder="1" applyProtection="1">
      <protection locked="0"/>
    </xf>
    <xf fontId="0" fillId="4" borderId="19" numFmtId="1" xfId="0" applyNumberFormat="1" applyFill="1" applyBorder="1" applyProtection="1">
      <protection locked="0"/>
    </xf>
    <xf fontId="0" fillId="4" borderId="13" numFmtId="49" xfId="0" applyNumberFormat="1" applyFill="1" applyBorder="1"/>
    <xf fontId="0" fillId="4" borderId="13" numFmtId="0" xfId="0" applyFill="1" applyBorder="1"/>
    <xf fontId="0" fillId="4" borderId="17" numFmtId="14" xfId="0" applyNumberFormat="1" applyFill="1" applyBorder="1" applyProtection="1"/>
    <xf fontId="10" fillId="6" borderId="17" numFmtId="0" xfId="1" applyFont="1" applyFill="1" applyBorder="1" applyProtection="1"/>
    <xf fontId="0" fillId="4" borderId="15" numFmtId="14" xfId="0" applyNumberFormat="1" applyFill="1" applyBorder="1" applyProtection="1">
      <protection locked="0"/>
    </xf>
    <xf fontId="0" fillId="4" borderId="19" numFmtId="1" xfId="0" applyNumberFormat="1" applyFill="1" applyBorder="1"/>
    <xf fontId="8" fillId="4" borderId="18" numFmtId="49" xfId="0" applyNumberFormat="1" applyFont="1" applyFill="1" applyBorder="1" applyAlignment="1" applyProtection="1">
      <alignment horizontal="left"/>
    </xf>
    <xf fontId="0" fillId="4" borderId="18" numFmtId="0" xfId="0" applyFill="1" applyBorder="1" applyProtection="1"/>
    <xf fontId="0" fillId="4" borderId="19" numFmtId="0" xfId="0" applyFill="1" applyBorder="1"/>
    <xf fontId="8" fillId="4" borderId="19" numFmtId="1" xfId="0" applyNumberFormat="1" applyFont="1" applyFill="1" applyBorder="1" applyAlignment="1">
      <alignment horizontal="left"/>
    </xf>
    <xf fontId="0" fillId="4" borderId="20" numFmtId="14" xfId="0" applyNumberFormat="1" applyFill="1" applyBorder="1"/>
    <xf fontId="0" fillId="4" borderId="20" numFmtId="1" xfId="0" applyNumberFormat="1" applyFill="1" applyBorder="1"/>
    <xf fontId="0" fillId="4" borderId="20" numFmtId="0" xfId="0" applyFill="1" applyBorder="1"/>
    <xf fontId="0" fillId="4" borderId="21" numFmtId="0" xfId="0" applyFill="1" applyBorder="1"/>
    <xf fontId="0" fillId="0" borderId="0" numFmtId="0" xfId="0"/>
    <xf fontId="0" fillId="4" borderId="17" numFmtId="49" xfId="0" applyNumberFormat="1" applyFill="1" applyBorder="1" applyAlignment="1">
      <alignment wrapText="1"/>
    </xf>
    <xf fontId="0" fillId="4" borderId="17" numFmtId="49" xfId="0" applyNumberFormat="1" applyFill="1" applyBorder="1"/>
    <xf fontId="0" fillId="4" borderId="17" numFmtId="0" xfId="0" applyFill="1" applyBorder="1"/>
  </cellXfs>
  <cellStyles count="2">
    <cellStyle name="Neutre"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0</xdr:colOff>
      <xdr:row>0</xdr:row>
      <xdr:rowOff>704849</xdr:rowOff>
    </xdr:from>
    <xdr:ext cx="1904999" cy="1285875"/>
    <xdr:pic>
      <xdr:nvPicPr>
        <xdr:cNvPr id="1392949777" name="" hidden="0"/>
        <xdr:cNvPicPr>
          <a:picLocks noChangeAspect="1"/>
        </xdr:cNvPicPr>
      </xdr:nvPicPr>
      <xdr:blipFill>
        <a:blip r:embed="rId1"/>
        <a:stretch/>
      </xdr:blipFill>
      <xdr:spPr bwMode="auto">
        <a:xfrm>
          <a:off x="0" y="704849"/>
          <a:ext cx="1904999" cy="1285875"/>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prstGeom prst="rect">
          <a:avLst/>
        </a:prstGeom>
        <a:solidFill>
          <a:srgbClr val="FFFFFF"/>
        </a:solidFill>
        <a:ln w="25400" cap="flat">
          <a:solidFill>
            <a:schemeClr val="accent1"/>
          </a:solidFill>
          <a:prstDash val="solid"/>
          <a:round/>
        </a:ln>
      </a:spPr>
      <a:bodyPr/>
      <a:lstStyle/>
      <a:style>
        <a:lnRef idx="0">
          <a:srgbClr val="000000"/>
        </a:lnRef>
        <a:fillRef idx="0">
          <a:srgbClr val="000000"/>
        </a:fillRef>
        <a:effectRef idx="0">
          <a:srgbClr val="000000"/>
        </a:effectRef>
        <a:fontRef idx="none"/>
      </a:style>
    </a:spDef>
    <a:lnDef>
      <a:spPr bwMode="auto">
        <a:prstGeom prst="rect">
          <a:avLst/>
        </a:prstGeom>
        <a:noFill/>
        <a:ln w="25400" cap="flat">
          <a:solidFill>
            <a:schemeClr val="accent1"/>
          </a:solidFill>
          <a:prstDash val="solid"/>
          <a:round/>
        </a:ln>
      </a:spPr>
      <a:bodyPr/>
      <a:lstStyle/>
      <a:style>
        <a:lnRef idx="0">
          <a:srgbClr val="000000"/>
        </a:lnRef>
        <a:fillRef idx="0">
          <a:srgbClr val="000000"/>
        </a:fillRef>
        <a:effectRef idx="0">
          <a:srgbClr val="000000"/>
        </a:effectRef>
        <a:fontRef idx="none"/>
      </a:style>
    </a:lnDef>
    <a:txDef>
      <a:spPr bwMode="auto">
        <a:prstGeom prst="rect">
          <a:avLst/>
        </a:prstGeom>
        <a:noFill/>
        <a:ln w="12700" cap="flat">
          <a:noFill/>
          <a:miter lim="400000"/>
        </a:ln>
      </a:spPr>
      <a:bodyPr/>
      <a:lstStyle/>
      <a:style>
        <a:lnRef idx="0">
          <a:srgbClr val="000000"/>
        </a:lnRef>
        <a:fillRef idx="0">
          <a:srgbClr val="000000"/>
        </a:fillRef>
        <a:effectRef idx="0">
          <a:srgbClr val="000000"/>
        </a:effectRef>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1" zoomScale="79" workbookViewId="0">
      <pane ySplit="2" topLeftCell="A3" activePane="bottomLeft" state="frozen"/>
      <selection activeCell="U1" activeCellId="0" sqref="U:U"/>
    </sheetView>
  </sheetViews>
  <sheetFormatPr baseColWidth="10" defaultColWidth="10.83203125" defaultRowHeight="15.5" customHeight="1"/>
  <cols>
    <col customWidth="1" min="1" max="1" style="2" width="35.57421875"/>
    <col customWidth="1" min="2" max="2" style="1" width="22.83203125"/>
    <col customWidth="1" min="3" max="3" style="1" width="23.1640625"/>
    <col customWidth="1" min="4" max="4" style="1" width="22.1640625"/>
    <col customWidth="1" min="5" max="5" style="1" width="23"/>
    <col customWidth="1" min="6" max="6" style="1" width="22.6640625"/>
    <col customWidth="1" min="7" max="7" style="1" width="24.33203125"/>
    <col customWidth="1" min="8" max="8" style="1" width="22.83203125"/>
    <col customWidth="1" min="9" max="10" style="1" width="31.1640625"/>
    <col customWidth="1" min="11" max="17" style="3" width="22.83203125"/>
    <col customWidth="1" hidden="1" min="18" max="19" style="3" width="22.83203125"/>
    <col customWidth="1" min="20" max="20" style="3" width="44.1640625"/>
    <col customWidth="1" hidden="1" min="21" max="21" style="3" width="44.1640625"/>
    <col customWidth="1" hidden="1" min="22" max="24" style="3" width="21.83203125"/>
    <col customWidth="1" min="25" max="25" style="3" width="44.1640625"/>
    <col customWidth="1" min="26" max="28" style="3" width="10.83203125"/>
    <col min="29" max="16384" style="1" width="10.83203125"/>
  </cols>
  <sheetData>
    <row r="1" ht="56" customHeight="1">
      <c r="A1" s="4"/>
      <c r="B1" s="5" t="s">
        <v>0</v>
      </c>
      <c r="C1" s="6"/>
      <c r="D1" s="6"/>
      <c r="E1" s="6"/>
      <c r="F1" s="6"/>
      <c r="G1" s="6"/>
      <c r="H1" s="6"/>
      <c r="I1" s="7"/>
      <c r="J1" s="8" t="s">
        <v>1</v>
      </c>
      <c r="K1" s="9"/>
      <c r="L1" s="9"/>
      <c r="M1" s="9"/>
      <c r="N1" s="9"/>
      <c r="O1" s="9"/>
      <c r="P1" s="9"/>
      <c r="Q1" s="10"/>
      <c r="R1" s="8"/>
      <c r="S1" s="8"/>
      <c r="T1" s="11" t="s">
        <v>2</v>
      </c>
      <c r="U1" s="12"/>
      <c r="V1" s="12"/>
      <c r="W1" s="12"/>
      <c r="X1" s="12"/>
      <c r="Y1" s="13"/>
      <c r="Z1" s="13"/>
      <c r="AA1" s="13"/>
    </row>
    <row r="2" ht="166" customHeight="1">
      <c r="A2" s="14"/>
      <c r="B2" s="15" t="s">
        <v>3</v>
      </c>
      <c r="C2" s="15" t="s">
        <v>4</v>
      </c>
      <c r="D2" s="15" t="s">
        <v>5</v>
      </c>
      <c r="E2" s="15" t="s">
        <v>6</v>
      </c>
      <c r="F2" s="15" t="s">
        <v>7</v>
      </c>
      <c r="G2" s="15" t="s">
        <v>8</v>
      </c>
      <c r="H2" s="15" t="s">
        <v>9</v>
      </c>
      <c r="I2" s="16"/>
      <c r="J2" s="15" t="s">
        <v>10</v>
      </c>
      <c r="K2" s="17" t="s">
        <v>11</v>
      </c>
      <c r="L2" s="17" t="s">
        <v>12</v>
      </c>
      <c r="M2" s="17" t="s">
        <v>13</v>
      </c>
      <c r="N2" s="17" t="s">
        <v>6</v>
      </c>
      <c r="O2" s="17" t="s">
        <v>7</v>
      </c>
      <c r="P2" s="17" t="s">
        <v>14</v>
      </c>
      <c r="Q2" s="17" t="s">
        <v>9</v>
      </c>
      <c r="R2" s="18" t="s">
        <v>15</v>
      </c>
      <c r="S2" s="18" t="s">
        <v>16</v>
      </c>
      <c r="T2" s="18" t="s">
        <v>16</v>
      </c>
      <c r="U2" s="19"/>
      <c r="V2" s="18" t="s">
        <v>17</v>
      </c>
      <c r="W2" s="18" t="s">
        <v>18</v>
      </c>
      <c r="X2" s="20" t="s">
        <v>19</v>
      </c>
      <c r="Y2" s="13"/>
      <c r="Z2" s="13"/>
      <c r="AA2" s="13"/>
    </row>
    <row r="3" ht="42.75" customHeight="1">
      <c r="A3" s="21"/>
      <c r="B3" s="22" t="s">
        <v>20</v>
      </c>
      <c r="C3" s="22" t="s">
        <v>21</v>
      </c>
      <c r="D3" s="22" t="s">
        <v>22</v>
      </c>
      <c r="E3" s="22" t="s">
        <v>23</v>
      </c>
      <c r="F3" s="22" t="s">
        <v>24</v>
      </c>
      <c r="G3" s="22" t="s">
        <v>25</v>
      </c>
      <c r="H3" s="22" t="s">
        <v>26</v>
      </c>
      <c r="I3" s="23"/>
      <c r="J3" s="24" t="e">
        <f>IF(OR(K4="ERREUR",L4="ERREUR",M4="ERREUR",N4="ERREUR",#REF!="ERREUR",P4="ERREUR",O4="ERREUR"),"ERREUR",IF(AND(K4="",L4="",M4="",N4="",#REF!="",P4="",O4=""),"ligne vide",IF(OR(K4="",L4="",M4="",N4="",#REF!="",P4="",O4=""),"ligne incomplète","Valide")))</f>
        <v>#REF!</v>
      </c>
      <c r="K3" s="24" t="s">
        <v>27</v>
      </c>
      <c r="L3" s="25" t="s">
        <v>28</v>
      </c>
      <c r="M3" s="25" t="s">
        <v>29</v>
      </c>
      <c r="N3" s="25" t="s">
        <v>30</v>
      </c>
      <c r="O3" s="25" t="s">
        <v>31</v>
      </c>
      <c r="P3" s="25" t="s">
        <v>32</v>
      </c>
      <c r="Q3" s="26" t="s">
        <v>33</v>
      </c>
      <c r="R3" s="27"/>
      <c r="S3" s="28"/>
      <c r="T3" s="28"/>
      <c r="U3" s="28"/>
      <c r="V3" s="28"/>
      <c r="W3" s="28"/>
      <c r="X3" s="29"/>
      <c r="Y3" s="13"/>
      <c r="Z3" s="13"/>
      <c r="AA3" s="13"/>
    </row>
    <row r="4" ht="13.75" customHeight="1">
      <c r="A4" s="14" t="s">
        <v>34</v>
      </c>
      <c r="B4" s="30"/>
      <c r="C4" s="30"/>
      <c r="D4" s="30"/>
      <c r="E4" s="30"/>
      <c r="F4" s="30"/>
      <c r="G4" s="30"/>
      <c r="H4" s="31"/>
      <c r="I4" s="32"/>
      <c r="J4" s="33"/>
      <c r="K4" s="33"/>
      <c r="L4" s="34"/>
      <c r="M4" s="34"/>
      <c r="N4" s="34"/>
      <c r="O4" s="34"/>
      <c r="P4" s="34"/>
      <c r="Q4" s="35"/>
      <c r="R4" s="36" t="s">
        <v>35</v>
      </c>
      <c r="S4" s="1" t="s">
        <v>36</v>
      </c>
      <c r="T4" s="37" t="s">
        <v>37</v>
      </c>
      <c r="U4" s="38" t="str">
        <f>SUBSTITUTE(SUBSTITUTE(SUBSTITUTE(SUBSTITUTE(SUBSTITUTE(SUBSTITUTE(SUBSTITUTE(SUBSTITUTE(UPPER(S4),"Å","A"),"É","E"),"È","E"),"Ê","E"),"Ë","E"),"Î","I"),"Ï","I"),"Ô","O")</f>
        <v>AFGHANISTAN</v>
      </c>
      <c r="V4" s="39" t="s">
        <v>38</v>
      </c>
      <c r="W4" s="40" t="s">
        <v>39</v>
      </c>
      <c r="X4" s="41" t="s">
        <v>40</v>
      </c>
      <c r="Y4" s="42"/>
      <c r="Z4" s="42"/>
      <c r="AA4" s="42"/>
    </row>
    <row r="5" ht="13.75" customHeight="1">
      <c r="A5" s="14"/>
      <c r="B5" s="43"/>
      <c r="C5" s="43"/>
      <c r="D5" s="43"/>
      <c r="E5" s="44"/>
      <c r="F5" s="44"/>
      <c r="G5" s="44"/>
      <c r="H5" s="45"/>
      <c r="I5" s="46"/>
      <c r="J5" s="47" t="str">
        <f>IF(OR(K5="ERREUR",L5="ERREUR",M5="ERREUR",N5="ERREUR",O5="ERREUR",P5="ERREUR",Q5="ERREUR"),"ERREUR",IF(AND(K5="",L5="",M5="",N5="",O5="",P5="",Q5=""),"ligne vide",IF(OR(K5="",L5="",M5="",N5="",O5="",P5="",Q5=""),"ligne incomplète","Valide")))</f>
        <v xml:space="preserve">ligne vide</v>
      </c>
      <c r="K5" s="48" t="str">
        <f>IF(ISBLANK(B5),IF(ISBLANK(B6),T(B5),"ERREUR"),IF(ISNUMBER(B5),_xlfn.NUMBERVALUE(B5),IF(ISTEXT(B5),VALUE(B5),"ERREUR")))</f>
        <v/>
      </c>
      <c r="L5" s="38" t="str">
        <f>IF(COUNTIF($R$4:$R$6,C5)&gt;0,C5,IF(ISBLANK(C5),IF(ISBLANK(C6),T(C5),"ERREUR"),"ERREUR"))</f>
        <v/>
      </c>
      <c r="M5" s="49" t="str">
        <f>IF(ISBLANK(D5),IF(ISBLANK(D6),T(D5),"ERREUR"),IF(COUNTIF($T$4:$T$240,SUBSTITUTE(SUBSTITUTE(SUBSTITUTE(SUBSTITUTE(SUBSTITUTE(SUBSTITUTE(UPPER(D5),"Å","A"),"É","E"),"È","E"),"Ê","E"),"Î","I"),"Ï","I"))&gt;0,D5,IF(ISBLANK(D5),T(D5),"ERREUR")))</f>
        <v/>
      </c>
      <c r="N5" s="38" t="str">
        <f>IF(COUNTIF($V$4:$V$6,E5)&gt;0,E5,IF(ISBLANK(E5),IF(ISBLANK(E6),T(E5),"ERREUR"),"ERREUR"))</f>
        <v/>
      </c>
      <c r="O5" s="38" t="str">
        <f>IF(COUNTIF($W$4:$W$5,F5)&gt;0,F5,IF(ISBLANK(F5),IF(ISBLANK(F6),T(F5),"ERREUR"),"ERREUR"))</f>
        <v/>
      </c>
      <c r="P5" s="38" t="str">
        <f>IF(COUNTIF($X$4:$X$8,G5)&gt;0,G5,IF(ISBLANK(G5),IF(ISBLANK(G6),T(G5),"ERREUR"),"ERREUR"))</f>
        <v/>
      </c>
      <c r="Q5" s="38" t="str">
        <f>IF(ISNUMBER(H5),IF(INT(H5)=H5,IF(H5&lt;15300,H5,"ERREUR"),"ERREUR"),IF(ISBLANK(H5),IF(ISBLANK(H6),T(H5),"ERREUR"),"ERREUR"))</f>
        <v/>
      </c>
      <c r="R5" s="36" t="s">
        <v>41</v>
      </c>
      <c r="S5" s="1" t="s">
        <v>42</v>
      </c>
      <c r="T5" s="39" t="s">
        <v>43</v>
      </c>
      <c r="U5" s="38" t="str">
        <f>SUBSTITUTE(SUBSTITUTE(SUBSTITUTE(SUBSTITUTE(SUBSTITUTE(SUBSTITUTE(SUBSTITUTE(SUBSTITUTE(UPPER(S5),"Å","A"),"É","E"),"È","E"),"Ê","E"),"Ë","E"),"Î","I"),"Ï","I"),"Ô","O")</f>
        <v xml:space="preserve">AFRIQUE DU SUD</v>
      </c>
      <c r="V5" s="39" t="s">
        <v>44</v>
      </c>
      <c r="W5" s="40" t="s">
        <v>45</v>
      </c>
      <c r="X5" s="41" t="s">
        <v>46</v>
      </c>
      <c r="Y5" s="42"/>
      <c r="Z5" s="42"/>
      <c r="AA5" s="42"/>
    </row>
    <row r="6" ht="13.75" customHeight="1">
      <c r="A6" s="14"/>
      <c r="B6" s="50"/>
      <c r="C6" s="43"/>
      <c r="D6" s="43"/>
      <c r="E6" s="44"/>
      <c r="F6" s="44"/>
      <c r="G6" s="44"/>
      <c r="H6" s="45"/>
      <c r="I6" s="51"/>
      <c r="J6" s="47" t="str">
        <f>IF(OR(K6="ERREUR",L6="ERREUR",M6="ERREUR",N6="ERREUR",O6="ERREUR",P6="ERREUR",Q6="ERREUR"),"ERREUR",IF(AND(K6="",L6="",M6="",N6="",O6="",P6="",Q6=""),"ligne vide",IF(OR(K6="",L6="",M6="",N6="",O6="",P6="",Q6=""),"ligne incomplète","Valide")))</f>
        <v xml:space="preserve">ligne vide</v>
      </c>
      <c r="K6" s="48" t="str">
        <f>IF(ISBLANK(B6),IF(ISBLANK(B7),T(B6),"ERREUR"),IF(ISNUMBER(B6),_xlfn.NUMBERVALUE(B6),IF(ISTEXT(B6),VALUE(B6),"ERREUR")))</f>
        <v/>
      </c>
      <c r="L6" s="38" t="str">
        <f>IF(COUNTIF($R$4:$R$6,C6)&gt;0,C6,IF(ISBLANK(C6),IF(ISBLANK(C7),T(C6),"ERREUR"),"ERREUR"))</f>
        <v/>
      </c>
      <c r="M6" s="49" t="str">
        <f>IF(ISBLANK(D6),IF(ISBLANK(D7),T(D6),"ERREUR"),IF(COUNTIF($T$4:$T$240,SUBSTITUTE(SUBSTITUTE(SUBSTITUTE(SUBSTITUTE(SUBSTITUTE(SUBSTITUTE(UPPER(D6),"Å","A"),"É","E"),"È","E"),"Ê","E"),"Î","I"),"Ï","I"))&gt;0,D6,IF(ISBLANK(D6),T(D6),"ERREUR")))</f>
        <v/>
      </c>
      <c r="N6" s="38" t="str">
        <f>IF(COUNTIF($V$4:$V$6,E6)&gt;0,E6,IF(ISBLANK(E6),IF(ISBLANK(E7),T(E6),"ERREUR"),"ERREUR"))</f>
        <v/>
      </c>
      <c r="O6" s="38" t="str">
        <f>IF(COUNTIF($W$4:$W$5,F6)&gt;0,F6,IF(ISBLANK(F6),IF(ISBLANK(F7),T(F6),"ERREUR"),"ERREUR"))</f>
        <v/>
      </c>
      <c r="P6" s="38" t="str">
        <f>IF(COUNTIF($X$4:$X$8,G6)&gt;0,G6,IF(ISBLANK(G6),IF(ISBLANK(G7),T(G6),"ERREUR"),"ERREUR"))</f>
        <v/>
      </c>
      <c r="Q6" s="38" t="str">
        <f>IF(ISNUMBER(H6),IF(INT(H6)=H6,IF(H6&lt;15300,H6,"ERREUR"),"ERREUR"),IF(ISBLANK(H6),IF(ISBLANK(H7),T(H6),"ERREUR"),"ERREUR"))</f>
        <v/>
      </c>
      <c r="R6" s="36" t="s">
        <v>47</v>
      </c>
      <c r="S6" s="1" t="s">
        <v>48</v>
      </c>
      <c r="T6" s="39" t="s">
        <v>49</v>
      </c>
      <c r="U6" s="38" t="str">
        <f>SUBSTITUTE(SUBSTITUTE(SUBSTITUTE(SUBSTITUTE(SUBSTITUTE(SUBSTITUTE(SUBSTITUTE(SUBSTITUTE(UPPER(S6),"Å","A"),"É","E"),"È","E"),"Ê","E"),"Ë","E"),"Î","I"),"Ï","I"),"Ô","O")</f>
        <v xml:space="preserve">ALAND, ILES</v>
      </c>
      <c r="V6" s="39" t="s">
        <v>50</v>
      </c>
      <c r="W6" s="38"/>
      <c r="X6" s="41" t="s">
        <v>51</v>
      </c>
      <c r="Y6" s="42"/>
      <c r="Z6" s="42"/>
      <c r="AA6" s="42"/>
    </row>
    <row r="7" ht="13.75" customHeight="1">
      <c r="A7" s="14"/>
      <c r="B7" s="50"/>
      <c r="C7" s="43"/>
      <c r="D7" s="43"/>
      <c r="E7" s="44"/>
      <c r="F7" s="44"/>
      <c r="G7" s="44"/>
      <c r="H7" s="45"/>
      <c r="I7" s="51"/>
      <c r="J7" s="47" t="str">
        <f>IF(OR(K7="ERREUR",L7="ERREUR",M7="ERREUR",N7="ERREUR",O7="ERREUR",P7="ERREUR",Q7="ERREUR"),"ERREUR",IF(AND(K7="",L7="",M7="",N7="",O7="",P7="",Q7=""),"ligne vide",IF(OR(K7="",L7="",M7="",N7="",O7="",P7="",Q7=""),"ligne incomplète","Valide")))</f>
        <v xml:space="preserve">ligne vide</v>
      </c>
      <c r="K7" s="48" t="str">
        <f>IF(ISBLANK(B7),IF(ISBLANK(B8),T(B7),"ERREUR"),IF(ISNUMBER(B7),_xlfn.NUMBERVALUE(B7),IF(ISTEXT(B7),VALUE(B7),"ERREUR")))</f>
        <v/>
      </c>
      <c r="L7" s="38" t="str">
        <f>IF(COUNTIF($R$4:$R$6,C7)&gt;0,C7,IF(ISBLANK(C7),IF(ISBLANK(C8),T(C7),"ERREUR"),"ERREUR"))</f>
        <v/>
      </c>
      <c r="M7" s="49" t="str">
        <f>IF(ISBLANK(D7),IF(ISBLANK(D8),T(D7),"ERREUR"),IF(COUNTIF($T$4:$T$240,SUBSTITUTE(SUBSTITUTE(SUBSTITUTE(SUBSTITUTE(SUBSTITUTE(SUBSTITUTE(UPPER(D7),"Å","A"),"É","E"),"È","E"),"Ê","E"),"Î","I"),"Ï","I"))&gt;0,D7,IF(ISBLANK(D7),T(D7),"ERREUR")))</f>
        <v/>
      </c>
      <c r="N7" s="38" t="str">
        <f>IF(COUNTIF($V$4:$V$6,E7)&gt;0,E7,IF(ISBLANK(E7),IF(ISBLANK(E8),T(E7),"ERREUR"),"ERREUR"))</f>
        <v/>
      </c>
      <c r="O7" s="38" t="str">
        <f>IF(COUNTIF($W$4:$W$5,F7)&gt;0,F7,IF(ISBLANK(F7),IF(ISBLANK(F8),T(F7),"ERREUR"),"ERREUR"))</f>
        <v/>
      </c>
      <c r="P7" s="38" t="str">
        <f>IF(COUNTIF($X$4:$X$8,G7)&gt;0,G7,IF(ISBLANK(G7),IF(ISBLANK(G8),T(G7),"ERREUR"),"ERREUR"))</f>
        <v/>
      </c>
      <c r="Q7" s="38" t="str">
        <f>IF(ISNUMBER(H7),IF(INT(H7)=H7,IF(H7&lt;15300,H7,"ERREUR"),"ERREUR"),IF(ISBLANK(H7),IF(ISBLANK(H8),T(H7),"ERREUR"),"ERREUR"))</f>
        <v/>
      </c>
      <c r="R7" s="38"/>
      <c r="S7" s="1" t="s">
        <v>52</v>
      </c>
      <c r="T7" s="39" t="s">
        <v>53</v>
      </c>
      <c r="U7" s="38" t="str">
        <f>SUBSTITUTE(SUBSTITUTE(SUBSTITUTE(SUBSTITUTE(SUBSTITUTE(SUBSTITUTE(SUBSTITUTE(SUBSTITUTE(UPPER(S7),"Å","A"),"É","E"),"È","E"),"Ê","E"),"Ë","E"),"Î","I"),"Ï","I"),"Ô","O")</f>
        <v>ALBANIE</v>
      </c>
      <c r="V7" s="38"/>
      <c r="W7" s="38"/>
      <c r="X7" s="41" t="s">
        <v>54</v>
      </c>
      <c r="Y7" s="42"/>
      <c r="Z7" s="42"/>
      <c r="AA7" s="42"/>
    </row>
    <row r="8" ht="13.75" customHeight="1">
      <c r="A8" s="14"/>
      <c r="B8" s="50"/>
      <c r="C8" s="43"/>
      <c r="D8" s="43"/>
      <c r="E8" s="44"/>
      <c r="F8" s="44"/>
      <c r="G8" s="44"/>
      <c r="H8" s="45"/>
      <c r="I8" s="51"/>
      <c r="J8" s="47" t="str">
        <f>IF(OR(K8="ERREUR",L8="ERREUR",M8="ERREUR",N8="ERREUR",O8="ERREUR",P8="ERREUR",Q8="ERREUR"),"ERREUR",IF(AND(K8="",L8="",M8="",N8="",O8="",P8="",Q8=""),"ligne vide",IF(OR(K8="",L8="",M8="",N8="",O8="",P8="",Q8=""),"ligne incomplète","Valide")))</f>
        <v xml:space="preserve">ligne vide</v>
      </c>
      <c r="K8" s="48" t="str">
        <f>IF(ISBLANK(B8),IF(ISBLANK(B9),T(B8),"ERREUR"),IF(ISNUMBER(B8),_xlfn.NUMBERVALUE(B8),IF(ISTEXT(B8),VALUE(B8),"ERREUR")))</f>
        <v/>
      </c>
      <c r="L8" s="38" t="str">
        <f>IF(COUNTIF($R$4:$R$6,C8)&gt;0,C8,IF(ISBLANK(C8),IF(ISBLANK(C9),T(C8),"ERREUR"),"ERREUR"))</f>
        <v/>
      </c>
      <c r="M8" s="49" t="str">
        <f>IF(ISBLANK(D8),IF(ISBLANK(D9),T(D8),"ERREUR"),IF(COUNTIF($T$4:$T$240,SUBSTITUTE(SUBSTITUTE(SUBSTITUTE(SUBSTITUTE(SUBSTITUTE(SUBSTITUTE(UPPER(D8),"Å","A"),"É","E"),"È","E"),"Ê","E"),"Î","I"),"Ï","I"))&gt;0,D8,IF(ISBLANK(D8),T(D8),"ERREUR")))</f>
        <v/>
      </c>
      <c r="N8" s="38" t="str">
        <f>IF(COUNTIF($V$4:$V$6,E8)&gt;0,E8,IF(ISBLANK(E8),IF(ISBLANK(E9),T(E8),"ERREUR"),"ERREUR"))</f>
        <v/>
      </c>
      <c r="O8" s="38" t="str">
        <f>IF(COUNTIF($W$4:$W$5,F8)&gt;0,F8,IF(ISBLANK(F8),IF(ISBLANK(F9),T(F8),"ERREUR"),"ERREUR"))</f>
        <v/>
      </c>
      <c r="P8" s="38" t="str">
        <f>IF(COUNTIF($X$4:$X$8,G8)&gt;0,G8,IF(ISBLANK(G8),IF(ISBLANK(G9),T(G8),"ERREUR"),"ERREUR"))</f>
        <v/>
      </c>
      <c r="Q8" s="38" t="str">
        <f>IF(ISNUMBER(H8),IF(INT(H8)=H8,IF(H8&lt;15300,H8,"ERREUR"),"ERREUR"),IF(ISBLANK(H8),IF(ISBLANK(H9),T(H8),"ERREUR"),"ERREUR"))</f>
        <v/>
      </c>
      <c r="R8" s="38"/>
      <c r="S8" s="1" t="s">
        <v>55</v>
      </c>
      <c r="T8" s="39" t="s">
        <v>56</v>
      </c>
      <c r="U8" s="38" t="str">
        <f>SUBSTITUTE(SUBSTITUTE(SUBSTITUTE(SUBSTITUTE(SUBSTITUTE(SUBSTITUTE(SUBSTITUTE(SUBSTITUTE(UPPER(S8),"Å","A"),"É","E"),"È","E"),"Ê","E"),"Ë","E"),"Î","I"),"Ï","I"),"Ô","O")</f>
        <v>ALGERIE</v>
      </c>
      <c r="V8" s="38"/>
      <c r="W8" s="38"/>
      <c r="X8" s="52" t="s">
        <v>57</v>
      </c>
      <c r="Y8" s="42"/>
      <c r="Z8" s="42"/>
      <c r="AA8" s="42"/>
    </row>
    <row r="9" ht="13.75" customHeight="1">
      <c r="A9" s="14"/>
      <c r="B9" s="50"/>
      <c r="C9" s="43"/>
      <c r="D9" s="43"/>
      <c r="E9" s="44"/>
      <c r="F9" s="44"/>
      <c r="G9" s="44"/>
      <c r="H9" s="45"/>
      <c r="I9" s="51"/>
      <c r="J9" s="47" t="str">
        <f>IF(OR(K9="ERREUR",L9="ERREUR",M9="ERREUR",N9="ERREUR",O9="ERREUR",P9="ERREUR",Q9="ERREUR"),"ERREUR",IF(AND(K9="",L9="",M9="",N9="",O9="",P9="",Q9=""),"ligne vide",IF(OR(K9="",L9="",M9="",N9="",O9="",P9="",Q9=""),"ligne incomplète","Valide")))</f>
        <v xml:space="preserve">ligne vide</v>
      </c>
      <c r="K9" s="48" t="str">
        <f>IF(ISBLANK(B9),IF(ISBLANK(B10),T(B9),"ERREUR"),IF(ISNUMBER(B9),_xlfn.NUMBERVALUE(B9),IF(ISTEXT(B9),VALUE(B9),"ERREUR")))</f>
        <v/>
      </c>
      <c r="L9" s="38" t="str">
        <f>IF(COUNTIF($R$4:$R$6,C9)&gt;0,C9,IF(ISBLANK(C9),IF(ISBLANK(C10),T(C9),"ERREUR"),"ERREUR"))</f>
        <v/>
      </c>
      <c r="M9" s="49" t="str">
        <f>IF(ISBLANK(D9),IF(ISBLANK(D10),T(D9),"ERREUR"),IF(COUNTIF($T$4:$T$240,SUBSTITUTE(SUBSTITUTE(SUBSTITUTE(SUBSTITUTE(SUBSTITUTE(SUBSTITUTE(UPPER(D9),"Å","A"),"É","E"),"È","E"),"Ê","E"),"Î","I"),"Ï","I"))&gt;0,D9,IF(ISBLANK(D9),T(D9),"ERREUR")))</f>
        <v/>
      </c>
      <c r="N9" s="38" t="str">
        <f>IF(COUNTIF($V$4:$V$6,E9)&gt;0,E9,IF(ISBLANK(E9),IF(ISBLANK(E10),T(E9),"ERREUR"),"ERREUR"))</f>
        <v/>
      </c>
      <c r="O9" s="38" t="str">
        <f>IF(COUNTIF($W$4:$W$5,F9)&gt;0,F9,IF(ISBLANK(F9),IF(ISBLANK(F10),T(F9),"ERREUR"),"ERREUR"))</f>
        <v/>
      </c>
      <c r="P9" s="38" t="str">
        <f>IF(COUNTIF($X$4:$X$8,G9)&gt;0,G9,IF(ISBLANK(G9),IF(ISBLANK(G10),T(G9),"ERREUR"),"ERREUR"))</f>
        <v/>
      </c>
      <c r="Q9" s="38" t="str">
        <f>IF(ISNUMBER(H9),IF(INT(H9)=H9,H9,"ERREUR"),IF(ISBLANK(H9),IF(ISBLANK(H10),T(H9),"ERREUR"),"ERREUR"))</f>
        <v/>
      </c>
      <c r="R9" s="38"/>
      <c r="S9" s="1" t="s">
        <v>58</v>
      </c>
      <c r="T9" s="39" t="s">
        <v>59</v>
      </c>
      <c r="U9" s="38" t="str">
        <f>SUBSTITUTE(SUBSTITUTE(SUBSTITUTE(SUBSTITUTE(SUBSTITUTE(SUBSTITUTE(SUBSTITUTE(SUBSTITUTE(UPPER(S9),"Å","A"),"É","E"),"È","E"),"Ê","E"),"Ë","E"),"Î","I"),"Ï","I"),"Ô","O")</f>
        <v>ALLEMAGNE</v>
      </c>
      <c r="V9" s="38"/>
      <c r="W9" s="38"/>
      <c r="X9" s="53"/>
      <c r="Y9" s="42"/>
      <c r="Z9" s="42"/>
      <c r="AA9" s="42"/>
    </row>
    <row r="10" ht="13.75" customHeight="1">
      <c r="A10" s="14"/>
      <c r="B10" s="50"/>
      <c r="C10" s="43"/>
      <c r="D10" s="43"/>
      <c r="E10" s="44"/>
      <c r="F10" s="44"/>
      <c r="G10" s="44"/>
      <c r="H10" s="45"/>
      <c r="I10" s="51"/>
      <c r="J10" s="47" t="str">
        <f>IF(OR(K10="ERREUR",L10="ERREUR",M10="ERREUR",N10="ERREUR",O10="ERREUR",P10="ERREUR",Q10="ERREUR"),"ERREUR",IF(AND(K10="",L10="",M10="",N10="",O10="",P10="",Q10=""),"ligne vide",IF(OR(K10="",L10="",M10="",N10="",O10="",P10="",Q10=""),"ligne incomplète","Valide")))</f>
        <v xml:space="preserve">ligne vide</v>
      </c>
      <c r="K10" s="48" t="str">
        <f>IF(ISBLANK(B10),IF(ISBLANK(B11),T(B10),"ERREUR"),IF(ISNUMBER(B10),_xlfn.NUMBERVALUE(B10),IF(ISTEXT(B10),VALUE(B10),"ERREUR")))</f>
        <v/>
      </c>
      <c r="L10" s="38" t="str">
        <f>IF(COUNTIF($R$4:$R$6,C10)&gt;0,C10,IF(ISBLANK(C10),IF(ISBLANK(C11),T(C10),"ERREUR"),"ERREUR"))</f>
        <v/>
      </c>
      <c r="M10" s="49" t="str">
        <f>IF(ISBLANK(D10),IF(ISBLANK(D11),T(D10),"ERREUR"),IF(COUNTIF($T$4:$T$240,SUBSTITUTE(SUBSTITUTE(SUBSTITUTE(SUBSTITUTE(SUBSTITUTE(SUBSTITUTE(UPPER(D10),"Å","A"),"É","E"),"È","E"),"Ê","E"),"Î","I"),"Ï","I"))&gt;0,D10,IF(ISBLANK(D10),T(D10),"ERREUR")))</f>
        <v/>
      </c>
      <c r="N10" s="38" t="str">
        <f>IF(COUNTIF($V$4:$V$6,E10)&gt;0,E10,IF(ISBLANK(E10),IF(ISBLANK(E11),T(E10),"ERREUR"),"ERREUR"))</f>
        <v/>
      </c>
      <c r="O10" s="38" t="str">
        <f>IF(COUNTIF($W$4:$W$5,F10)&gt;0,F10,IF(ISBLANK(F10),IF(ISBLANK(F11),T(F10),"ERREUR"),"ERREUR"))</f>
        <v/>
      </c>
      <c r="P10" s="38" t="str">
        <f>IF(COUNTIF($X$4:$X$8,G10)&gt;0,G10,IF(ISBLANK(G10),IF(ISBLANK(G11),T(G10),"ERREUR"),"ERREUR"))</f>
        <v/>
      </c>
      <c r="Q10" s="38" t="str">
        <f>IF(ISNUMBER(H10),IF(INT(H10)=H10,H10,"ERREUR"),IF(ISBLANK(H10),IF(ISBLANK(H11),T(H10),"ERREUR"),"ERREUR"))</f>
        <v/>
      </c>
      <c r="R10" s="38"/>
      <c r="S10" s="1" t="s">
        <v>60</v>
      </c>
      <c r="T10" s="39" t="s">
        <v>61</v>
      </c>
      <c r="U10" s="38" t="str">
        <f>SUBSTITUTE(SUBSTITUTE(SUBSTITUTE(SUBSTITUTE(SUBSTITUTE(SUBSTITUTE(SUBSTITUTE(SUBSTITUTE(UPPER(S10),"Å","A"),"É","E"),"È","E"),"Ê","E"),"Ë","E"),"Î","I"),"Ï","I"),"Ô","O")</f>
        <v>ANDORRE</v>
      </c>
      <c r="V10" s="38"/>
      <c r="W10" s="38"/>
      <c r="X10" s="53"/>
      <c r="Y10" s="42"/>
      <c r="Z10" s="42"/>
      <c r="AA10" s="42"/>
    </row>
    <row r="11" ht="13.75" customHeight="1">
      <c r="A11" s="14"/>
      <c r="B11" s="50"/>
      <c r="C11" s="43"/>
      <c r="D11" s="43"/>
      <c r="E11" s="44"/>
      <c r="F11" s="44"/>
      <c r="G11" s="44"/>
      <c r="H11" s="45"/>
      <c r="I11" s="51"/>
      <c r="J11" s="47" t="str">
        <f>IF(OR(K11="ERREUR",L11="ERREUR",M11="ERREUR",N11="ERREUR",O11="ERREUR",P11="ERREUR",Q11="ERREUR"),"ERREUR",IF(AND(K11="",L11="",M11="",N11="",O11="",P11="",Q11=""),"ligne vide",IF(OR(K11="",L11="",M11="",N11="",O11="",P11="",Q11=""),"ligne incomplète","Valide")))</f>
        <v xml:space="preserve">ligne vide</v>
      </c>
      <c r="K11" s="48" t="str">
        <f>IF(ISBLANK(B11),IF(ISBLANK(B12),T(B11),"ERREUR"),IF(ISNUMBER(B11),_xlfn.NUMBERVALUE(B11),IF(ISTEXT(B11),VALUE(B11),"ERREUR")))</f>
        <v/>
      </c>
      <c r="L11" s="38" t="str">
        <f>IF(COUNTIF($R$4:$R$6,C11)&gt;0,C11,IF(ISBLANK(C11),IF(ISBLANK(C12),T(C11),"ERREUR"),"ERREUR"))</f>
        <v/>
      </c>
      <c r="M11" s="49" t="str">
        <f>IF(ISBLANK(D11),IF(ISBLANK(D12),T(D11),"ERREUR"),IF(COUNTIF($T$4:$T$240,SUBSTITUTE(SUBSTITUTE(SUBSTITUTE(SUBSTITUTE(SUBSTITUTE(SUBSTITUTE(UPPER(D11),"Å","A"),"É","E"),"È","E"),"Ê","E"),"Î","I"),"Ï","I"))&gt;0,D11,IF(ISBLANK(D11),T(D11),"ERREUR")))</f>
        <v/>
      </c>
      <c r="N11" s="38" t="str">
        <f>IF(COUNTIF($V$4:$V$6,E11)&gt;0,E11,IF(ISBLANK(E11),IF(ISBLANK(E12),T(E11),"ERREUR"),"ERREUR"))</f>
        <v/>
      </c>
      <c r="O11" s="38" t="str">
        <f>IF(COUNTIF($W$4:$W$5,F11)&gt;0,F11,IF(ISBLANK(F11),IF(ISBLANK(F12),T(F11),"ERREUR"),"ERREUR"))</f>
        <v/>
      </c>
      <c r="P11" s="38" t="str">
        <f>IF(COUNTIF($X$4:$X$8,G11)&gt;0,G11,IF(ISBLANK(G11),IF(ISBLANK(G12),T(G11),"ERREUR"),"ERREUR"))</f>
        <v/>
      </c>
      <c r="Q11" s="38" t="str">
        <f>IF(ISNUMBER(H11),IF(INT(H11)=H11,H11,"ERREUR"),IF(ISBLANK(H11),IF(ISBLANK(H12),T(H11),"ERREUR"),"ERREUR"))</f>
        <v/>
      </c>
      <c r="R11" s="38"/>
      <c r="S11" s="1" t="s">
        <v>62</v>
      </c>
      <c r="T11" s="39" t="s">
        <v>63</v>
      </c>
      <c r="U11" s="38" t="str">
        <f>SUBSTITUTE(SUBSTITUTE(SUBSTITUTE(SUBSTITUTE(SUBSTITUTE(SUBSTITUTE(SUBSTITUTE(SUBSTITUTE(UPPER(S11),"Å","A"),"É","E"),"È","E"),"Ê","E"),"Ë","E"),"Î","I"),"Ï","I"),"Ô","O")</f>
        <v>ANGOLA</v>
      </c>
      <c r="V11" s="38"/>
      <c r="W11" s="38"/>
      <c r="X11" s="53"/>
      <c r="Y11" s="42"/>
      <c r="Z11" s="42"/>
      <c r="AA11" s="42"/>
    </row>
    <row r="12" ht="13.75" customHeight="1">
      <c r="A12" s="14"/>
      <c r="B12" s="50"/>
      <c r="C12" s="43"/>
      <c r="D12" s="43"/>
      <c r="E12" s="44"/>
      <c r="F12" s="44"/>
      <c r="G12" s="44"/>
      <c r="H12" s="45"/>
      <c r="I12" s="51"/>
      <c r="J12" s="47" t="str">
        <f>IF(OR(K12="ERREUR",L12="ERREUR",M12="ERREUR",N12="ERREUR",O12="ERREUR",P12="ERREUR",Q12="ERREUR"),"ERREUR",IF(AND(K12="",L12="",M12="",N12="",O12="",P12="",Q12=""),"ligne vide",IF(OR(K12="",L12="",M12="",N12="",O12="",P12="",Q12=""),"ligne incomplète","Valide")))</f>
        <v xml:space="preserve">ligne vide</v>
      </c>
      <c r="K12" s="48" t="str">
        <f>IF(ISBLANK(B12),IF(ISBLANK(B13),T(B12),"ERREUR"),IF(ISNUMBER(B12),_xlfn.NUMBERVALUE(B12),IF(ISTEXT(B12),VALUE(B12),"ERREUR")))</f>
        <v/>
      </c>
      <c r="L12" s="38" t="str">
        <f>IF(COUNTIF($R$4:$R$6,C12)&gt;0,C12,IF(ISBLANK(C12),IF(ISBLANK(C13),T(C12),"ERREUR"),"ERREUR"))</f>
        <v/>
      </c>
      <c r="M12" s="49" t="str">
        <f>IF(ISBLANK(D12),IF(ISBLANK(D13),T(D12),"ERREUR"),IF(COUNTIF($T$4:$T$240,SUBSTITUTE(SUBSTITUTE(SUBSTITUTE(SUBSTITUTE(SUBSTITUTE(SUBSTITUTE(UPPER(D12),"Å","A"),"É","E"),"È","E"),"Ê","E"),"Î","I"),"Ï","I"))&gt;0,D12,IF(ISBLANK(D12),T(D12),"ERREUR")))</f>
        <v/>
      </c>
      <c r="N12" s="38" t="str">
        <f>IF(COUNTIF($V$4:$V$6,E12)&gt;0,E12,IF(ISBLANK(E12),IF(ISBLANK(E13),T(E12),"ERREUR"),"ERREUR"))</f>
        <v/>
      </c>
      <c r="O12" s="38" t="str">
        <f>IF(COUNTIF($W$4:$W$5,F12)&gt;0,F12,IF(ISBLANK(F12),IF(ISBLANK(F13),T(F12),"ERREUR"),"ERREUR"))</f>
        <v/>
      </c>
      <c r="P12" s="38" t="str">
        <f>IF(COUNTIF($X$4:$X$8,G12)&gt;0,G12,IF(ISBLANK(G12),IF(ISBLANK(G13),T(G12),"ERREUR"),"ERREUR"))</f>
        <v/>
      </c>
      <c r="Q12" s="38" t="str">
        <f>IF(ISNUMBER(H12),IF(INT(H12)=H12,H12,"ERREUR"),IF(ISBLANK(H12),IF(ISBLANK(H13),T(H12),"ERREUR"),"ERREUR"))</f>
        <v/>
      </c>
      <c r="R12" s="38"/>
      <c r="S12" s="1" t="s">
        <v>64</v>
      </c>
      <c r="T12" s="39" t="s">
        <v>65</v>
      </c>
      <c r="U12" s="38" t="str">
        <f>SUBSTITUTE(SUBSTITUTE(SUBSTITUTE(SUBSTITUTE(SUBSTITUTE(SUBSTITUTE(SUBSTITUTE(SUBSTITUTE(UPPER(S12),"Å","A"),"É","E"),"È","E"),"Ê","E"),"Ë","E"),"Î","I"),"Ï","I"),"Ô","O")</f>
        <v>ANGUILLA</v>
      </c>
      <c r="V12" s="38"/>
      <c r="W12" s="38"/>
      <c r="X12" s="53"/>
      <c r="Y12" s="42"/>
      <c r="Z12" s="42"/>
      <c r="AA12" s="42"/>
    </row>
    <row r="13" ht="13.75" customHeight="1">
      <c r="A13" s="14"/>
      <c r="B13" s="50"/>
      <c r="C13" s="43"/>
      <c r="D13" s="43"/>
      <c r="E13" s="44"/>
      <c r="F13" s="44"/>
      <c r="G13" s="44"/>
      <c r="H13" s="45"/>
      <c r="I13" s="51"/>
      <c r="J13" s="47" t="str">
        <f>IF(OR(K13="ERREUR",L13="ERREUR",M13="ERREUR",N13="ERREUR",O13="ERREUR",P13="ERREUR",Q13="ERREUR"),"ERREUR",IF(AND(K13="",L13="",M13="",N13="",O13="",P13="",Q13=""),"ligne vide",IF(OR(K13="",L13="",M13="",N13="",O13="",P13="",Q13=""),"ligne incomplète","Valide")))</f>
        <v xml:space="preserve">ligne vide</v>
      </c>
      <c r="K13" s="48" t="str">
        <f>IF(ISBLANK(B13),IF(ISBLANK(B14),T(B13),"ERREUR"),IF(ISNUMBER(B13),_xlfn.NUMBERVALUE(B13),IF(ISTEXT(B13),VALUE(B13),"ERREUR")))</f>
        <v/>
      </c>
      <c r="L13" s="38" t="str">
        <f>IF(COUNTIF($R$4:$R$6,C13)&gt;0,C13,IF(ISBLANK(C13),IF(ISBLANK(C14),T(C13),"ERREUR"),"ERREUR"))</f>
        <v/>
      </c>
      <c r="M13" s="49" t="str">
        <f>IF(ISBLANK(D13),IF(ISBLANK(D14),T(D13),"ERREUR"),IF(COUNTIF($T$4:$T$240,SUBSTITUTE(SUBSTITUTE(SUBSTITUTE(SUBSTITUTE(SUBSTITUTE(SUBSTITUTE(UPPER(D13),"Å","A"),"É","E"),"È","E"),"Ê","E"),"Î","I"),"Ï","I"))&gt;0,D13,IF(ISBLANK(D13),T(D13),"ERREUR")))</f>
        <v/>
      </c>
      <c r="N13" s="38" t="str">
        <f>IF(COUNTIF($V$4:$V$6,E13)&gt;0,E13,IF(ISBLANK(E13),IF(ISBLANK(E14),T(E13),"ERREUR"),"ERREUR"))</f>
        <v/>
      </c>
      <c r="O13" s="38" t="str">
        <f>IF(COUNTIF($W$4:$W$5,F13)&gt;0,F13,IF(ISBLANK(F13),IF(ISBLANK(F14),T(F13),"ERREUR"),"ERREUR"))</f>
        <v/>
      </c>
      <c r="P13" s="38" t="str">
        <f>IF(COUNTIF($X$4:$X$8,G13)&gt;0,G13,IF(ISBLANK(G13),IF(ISBLANK(G14),T(G13),"ERREUR"),"ERREUR"))</f>
        <v/>
      </c>
      <c r="Q13" s="38" t="str">
        <f>IF(ISNUMBER(H13),IF(INT(H13)=H13,H13,"ERREUR"),IF(ISBLANK(H13),IF(ISBLANK(H14),T(H13),"ERREUR"),"ERREUR"))</f>
        <v/>
      </c>
      <c r="R13" s="38"/>
      <c r="S13" s="1" t="s">
        <v>66</v>
      </c>
      <c r="T13" s="39" t="s">
        <v>67</v>
      </c>
      <c r="U13" s="38" t="str">
        <f>SUBSTITUTE(SUBSTITUTE(SUBSTITUTE(SUBSTITUTE(SUBSTITUTE(SUBSTITUTE(SUBSTITUTE(SUBSTITUTE(UPPER(S13),"Å","A"),"É","E"),"È","E"),"Ê","E"),"Ë","E"),"Î","I"),"Ï","I"),"Ô","O")</f>
        <v>ANTARCTIQUE</v>
      </c>
      <c r="V13" s="38"/>
      <c r="W13" s="38"/>
      <c r="X13" s="53"/>
      <c r="Y13" s="42"/>
      <c r="Z13" s="42"/>
      <c r="AA13" s="42"/>
    </row>
    <row r="14" ht="13.75" customHeight="1">
      <c r="A14" s="14"/>
      <c r="B14" s="50"/>
      <c r="C14" s="43"/>
      <c r="D14" s="43"/>
      <c r="E14" s="44"/>
      <c r="F14" s="44"/>
      <c r="G14" s="44"/>
      <c r="H14" s="45"/>
      <c r="I14" s="51"/>
      <c r="J14" s="47" t="str">
        <f>IF(OR(K14="ERREUR",L14="ERREUR",M14="ERREUR",N14="ERREUR",O14="ERREUR",P14="ERREUR",Q14="ERREUR"),"ERREUR",IF(AND(K14="",L14="",M14="",N14="",O14="",P14="",Q14=""),"ligne vide",IF(OR(K14="",L14="",M14="",N14="",O14="",P14="",Q14=""),"ligne incomplète","Valide")))</f>
        <v xml:space="preserve">ligne vide</v>
      </c>
      <c r="K14" s="48" t="str">
        <f>IF(ISBLANK(B14),IF(ISBLANK(B15),T(B14),"ERREUR"),IF(ISNUMBER(B14),_xlfn.NUMBERVALUE(B14),IF(ISTEXT(B14),VALUE(B14),"ERREUR")))</f>
        <v/>
      </c>
      <c r="L14" s="38" t="str">
        <f>IF(COUNTIF($R$4:$R$6,C14)&gt;0,C14,IF(ISBLANK(C14),IF(ISBLANK(C15),T(C14),"ERREUR"),"ERREUR"))</f>
        <v/>
      </c>
      <c r="M14" s="49" t="str">
        <f>IF(ISBLANK(D14),IF(ISBLANK(D15),T(D14),"ERREUR"),IF(COUNTIF($T$4:$T$240,SUBSTITUTE(SUBSTITUTE(SUBSTITUTE(SUBSTITUTE(SUBSTITUTE(SUBSTITUTE(UPPER(D14),"Å","A"),"É","E"),"È","E"),"Ê","E"),"Î","I"),"Ï","I"))&gt;0,D14,IF(ISBLANK(D14),T(D14),"ERREUR")))</f>
        <v/>
      </c>
      <c r="N14" s="38" t="str">
        <f>IF(COUNTIF($V$4:$V$6,E14)&gt;0,E14,IF(ISBLANK(E14),IF(ISBLANK(E15),T(E14),"ERREUR"),"ERREUR"))</f>
        <v/>
      </c>
      <c r="O14" s="38" t="str">
        <f>IF(COUNTIF($W$4:$W$5,F14)&gt;0,F14,IF(ISBLANK(F14),IF(ISBLANK(F15),T(F14),"ERREUR"),"ERREUR"))</f>
        <v/>
      </c>
      <c r="P14" s="38" t="str">
        <f>IF(COUNTIF($X$4:$X$8,G14)&gt;0,G14,IF(ISBLANK(G14),IF(ISBLANK(G15),T(G14),"ERREUR"),"ERREUR"))</f>
        <v/>
      </c>
      <c r="Q14" s="38" t="str">
        <f>IF(ISNUMBER(H14),IF(INT(H14)=H14,H14,"ERREUR"),IF(ISBLANK(H14),IF(ISBLANK(H15),T(H14),"ERREUR"),"ERREUR"))</f>
        <v/>
      </c>
      <c r="R14" s="38"/>
      <c r="S14" s="1" t="s">
        <v>68</v>
      </c>
      <c r="T14" s="39" t="s">
        <v>69</v>
      </c>
      <c r="U14" s="38" t="str">
        <f>SUBSTITUTE(SUBSTITUTE(SUBSTITUTE(SUBSTITUTE(SUBSTITUTE(SUBSTITUTE(SUBSTITUTE(SUBSTITUTE(UPPER(S14),"Å","A"),"É","E"),"È","E"),"Ê","E"),"Ë","E"),"Î","I"),"Ï","I"),"Ô","O")</f>
        <v>ANTIGUA-ET-BARBUDA</v>
      </c>
      <c r="V14" s="38"/>
      <c r="W14" s="38"/>
      <c r="X14" s="53"/>
      <c r="Y14" s="42"/>
      <c r="Z14" s="42"/>
      <c r="AA14" s="42"/>
    </row>
    <row r="15" ht="13.75" customHeight="1">
      <c r="A15" s="14"/>
      <c r="B15" s="50"/>
      <c r="C15" s="43"/>
      <c r="D15" s="43"/>
      <c r="E15" s="44"/>
      <c r="F15" s="44"/>
      <c r="G15" s="44"/>
      <c r="H15" s="45"/>
      <c r="I15" s="51"/>
      <c r="J15" s="47" t="str">
        <f>IF(OR(K15="ERREUR",L15="ERREUR",M15="ERREUR",N15="ERREUR",O15="ERREUR",P15="ERREUR",Q15="ERREUR"),"ERREUR",IF(AND(K15="",L15="",M15="",N15="",O15="",P15="",Q15=""),"ligne vide",IF(OR(K15="",L15="",M15="",N15="",O15="",P15="",Q15=""),"ligne incomplète","Valide")))</f>
        <v xml:space="preserve">ligne vide</v>
      </c>
      <c r="K15" s="48" t="str">
        <f>IF(ISBLANK(B15),IF(ISBLANK(B16),T(B15),"ERREUR"),IF(ISNUMBER(B15),_xlfn.NUMBERVALUE(B15),IF(ISTEXT(B15),VALUE(B15),"ERREUR")))</f>
        <v/>
      </c>
      <c r="L15" s="38" t="str">
        <f>IF(COUNTIF($R$4:$R$6,C15)&gt;0,C15,IF(ISBLANK(C15),IF(ISBLANK(C16),T(C15),"ERREUR"),"ERREUR"))</f>
        <v/>
      </c>
      <c r="M15" s="49" t="str">
        <f>IF(ISBLANK(D15),IF(ISBLANK(D16),T(D15),"ERREUR"),IF(COUNTIF($T$4:$T$240,SUBSTITUTE(SUBSTITUTE(SUBSTITUTE(SUBSTITUTE(SUBSTITUTE(SUBSTITUTE(UPPER(D15),"Å","A"),"É","E"),"È","E"),"Ê","E"),"Î","I"),"Ï","I"))&gt;0,D15,IF(ISBLANK(D15),T(D15),"ERREUR")))</f>
        <v/>
      </c>
      <c r="N15" s="38" t="str">
        <f>IF(COUNTIF($V$4:$V$6,E15)&gt;0,E15,IF(ISBLANK(E15),IF(ISBLANK(E16),T(E15),"ERREUR"),"ERREUR"))</f>
        <v/>
      </c>
      <c r="O15" s="38" t="str">
        <f>IF(COUNTIF($W$4:$W$5,F15)&gt;0,F15,IF(ISBLANK(F15),IF(ISBLANK(F16),T(F15),"ERREUR"),"ERREUR"))</f>
        <v/>
      </c>
      <c r="P15" s="38" t="str">
        <f>IF(COUNTIF($X$4:$X$8,G15)&gt;0,G15,IF(ISBLANK(G15),IF(ISBLANK(G16),T(G15),"ERREUR"),"ERREUR"))</f>
        <v/>
      </c>
      <c r="Q15" s="38" t="str">
        <f>IF(ISNUMBER(H15),IF(INT(H15)=H15,H15,"ERREUR"),IF(ISBLANK(H15),IF(ISBLANK(H16),T(H15),"ERREUR"),"ERREUR"))</f>
        <v/>
      </c>
      <c r="R15" s="38"/>
      <c r="S15" s="1" t="s">
        <v>70</v>
      </c>
      <c r="T15" s="39" t="s">
        <v>71</v>
      </c>
      <c r="U15" s="38" t="str">
        <f>SUBSTITUTE(SUBSTITUTE(SUBSTITUTE(SUBSTITUTE(SUBSTITUTE(SUBSTITUTE(SUBSTITUTE(SUBSTITUTE(UPPER(S15),"Å","A"),"É","E"),"È","E"),"Ê","E"),"Ë","E"),"Î","I"),"Ï","I"),"Ô","O")</f>
        <v xml:space="preserve">ARABIE SAOUDITE</v>
      </c>
      <c r="V15" s="38"/>
      <c r="W15" s="38"/>
      <c r="X15" s="53"/>
      <c r="Y15" s="42"/>
      <c r="Z15" s="42"/>
      <c r="AA15" s="42"/>
    </row>
    <row r="16" ht="13.75" customHeight="1">
      <c r="A16" s="14"/>
      <c r="B16" s="50"/>
      <c r="C16" s="43"/>
      <c r="D16" s="43"/>
      <c r="E16" s="44"/>
      <c r="F16" s="44"/>
      <c r="G16" s="44"/>
      <c r="H16" s="45"/>
      <c r="I16" s="51"/>
      <c r="J16" s="47" t="str">
        <f>IF(OR(K16="ERREUR",L16="ERREUR",M16="ERREUR",N16="ERREUR",O16="ERREUR",P16="ERREUR",Q16="ERREUR"),"ERREUR",IF(AND(K16="",L16="",M16="",N16="",O16="",P16="",Q16=""),"ligne vide",IF(OR(K16="",L16="",M16="",N16="",O16="",P16="",Q16=""),"ligne incomplète","Valide")))</f>
        <v xml:space="preserve">ligne vide</v>
      </c>
      <c r="K16" s="48" t="str">
        <f>IF(ISBLANK(B16),IF(ISBLANK(B17),T(B16),"ERREUR"),IF(ISNUMBER(B16),_xlfn.NUMBERVALUE(B16),IF(ISTEXT(B16),VALUE(B16),"ERREUR")))</f>
        <v/>
      </c>
      <c r="L16" s="38" t="str">
        <f>IF(COUNTIF($R$4:$R$6,C16)&gt;0,C16,IF(ISBLANK(C16),IF(ISBLANK(C17),T(C16),"ERREUR"),"ERREUR"))</f>
        <v/>
      </c>
      <c r="M16" s="49" t="str">
        <f>IF(ISBLANK(D16),IF(ISBLANK(D17),T(D16),"ERREUR"),IF(COUNTIF($T$4:$T$240,SUBSTITUTE(SUBSTITUTE(SUBSTITUTE(SUBSTITUTE(SUBSTITUTE(SUBSTITUTE(UPPER(D16),"Å","A"),"É","E"),"È","E"),"Ê","E"),"Î","I"),"Ï","I"))&gt;0,D16,IF(ISBLANK(D16),T(D16),"ERREUR")))</f>
        <v/>
      </c>
      <c r="N16" s="38" t="str">
        <f>IF(COUNTIF($V$4:$V$6,E16)&gt;0,E16,IF(ISBLANK(E16),IF(ISBLANK(E17),T(E16),"ERREUR"),"ERREUR"))</f>
        <v/>
      </c>
      <c r="O16" s="38" t="str">
        <f>IF(COUNTIF($W$4:$W$5,F16)&gt;0,F16,IF(ISBLANK(F16),IF(ISBLANK(F17),T(F16),"ERREUR"),"ERREUR"))</f>
        <v/>
      </c>
      <c r="P16" s="38" t="str">
        <f>IF(COUNTIF($X$4:$X$8,G16)&gt;0,G16,IF(ISBLANK(G16),IF(ISBLANK(G17),T(G16),"ERREUR"),"ERREUR"))</f>
        <v/>
      </c>
      <c r="Q16" s="38" t="str">
        <f>IF(ISNUMBER(H16),IF(INT(H16)=H16,H16,"ERREUR"),IF(ISBLANK(H16),IF(ISBLANK(H17),T(H16),"ERREUR"),"ERREUR"))</f>
        <v/>
      </c>
      <c r="R16" s="38"/>
      <c r="S16" s="1" t="s">
        <v>72</v>
      </c>
      <c r="T16" s="39" t="s">
        <v>73</v>
      </c>
      <c r="U16" s="38" t="str">
        <f>SUBSTITUTE(SUBSTITUTE(SUBSTITUTE(SUBSTITUTE(SUBSTITUTE(SUBSTITUTE(SUBSTITUTE(SUBSTITUTE(UPPER(S16),"Å","A"),"É","E"),"È","E"),"Ê","E"),"Ë","E"),"Î","I"),"Ï","I"),"Ô","O")</f>
        <v>ARGENTINE</v>
      </c>
      <c r="V16" s="38"/>
      <c r="W16" s="38"/>
      <c r="X16" s="53"/>
      <c r="Y16" s="42"/>
      <c r="Z16" s="42"/>
      <c r="AA16" s="42"/>
    </row>
    <row r="17" ht="13.75" customHeight="1">
      <c r="A17" s="14"/>
      <c r="B17" s="50"/>
      <c r="C17" s="43"/>
      <c r="D17" s="43"/>
      <c r="E17" s="44"/>
      <c r="F17" s="44"/>
      <c r="G17" s="44"/>
      <c r="H17" s="45"/>
      <c r="I17" s="54"/>
      <c r="J17" s="47" t="str">
        <f>IF(OR(K17="ERREUR",L17="ERREUR",M17="ERREUR",N17="ERREUR",O17="ERREUR",P17="ERREUR",Q17="ERREUR"),"ERREUR",IF(AND(K17="",L17="",M17="",N17="",O17="",P17="",Q17=""),"ligne vide",IF(OR(K17="",L17="",M17="",N17="",O17="",P17="",Q17=""),"ligne incomplète","Valide")))</f>
        <v xml:space="preserve">ligne vide</v>
      </c>
      <c r="K17" s="48" t="str">
        <f>IF(ISBLANK(B17),IF(ISBLANK(B18),T(B17),"ERREUR"),IF(ISNUMBER(B17),_xlfn.NUMBERVALUE(B17),IF(ISTEXT(B17),VALUE(B17),"ERREUR")))</f>
        <v/>
      </c>
      <c r="L17" s="38" t="str">
        <f>IF(COUNTIF($R$4:$R$6,C17)&gt;0,C17,IF(ISBLANK(C17),IF(ISBLANK(C18),T(C17),"ERREUR"),"ERREUR"))</f>
        <v/>
      </c>
      <c r="M17" s="49" t="str">
        <f>IF(ISBLANK(D17),IF(ISBLANK(D18),T(D17),"ERREUR"),IF(COUNTIF($T$4:$T$240,SUBSTITUTE(SUBSTITUTE(SUBSTITUTE(SUBSTITUTE(SUBSTITUTE(SUBSTITUTE(UPPER(D17),"Å","A"),"É","E"),"È","E"),"Ê","E"),"Î","I"),"Ï","I"))&gt;0,D17,IF(ISBLANK(D17),T(D17),"ERREUR")))</f>
        <v/>
      </c>
      <c r="N17" s="38" t="str">
        <f>IF(COUNTIF($V$4:$V$6,E17)&gt;0,E17,IF(ISBLANK(E17),IF(ISBLANK(E18),T(E17),"ERREUR"),"ERREUR"))</f>
        <v/>
      </c>
      <c r="O17" s="38" t="str">
        <f>IF(COUNTIF($W$4:$W$5,F17)&gt;0,F17,IF(ISBLANK(F17),IF(ISBLANK(F18),T(F17),"ERREUR"),"ERREUR"))</f>
        <v/>
      </c>
      <c r="P17" s="38" t="str">
        <f>IF(COUNTIF($X$4:$X$8,G17)&gt;0,G17,IF(ISBLANK(G17),IF(ISBLANK(G18),T(G17),"ERREUR"),"ERREUR"))</f>
        <v/>
      </c>
      <c r="Q17" s="38" t="str">
        <f>IF(ISNUMBER(H17),IF(INT(H17)=H17,H17,"ERREUR"),IF(ISBLANK(H17),IF(ISBLANK(H18),T(H17),"ERREUR"),"ERREUR"))</f>
        <v/>
      </c>
      <c r="R17" s="38"/>
      <c r="S17" s="1" t="s">
        <v>74</v>
      </c>
      <c r="T17" s="39" t="s">
        <v>75</v>
      </c>
      <c r="U17" s="38" t="str">
        <f>SUBSTITUTE(SUBSTITUTE(SUBSTITUTE(SUBSTITUTE(SUBSTITUTE(SUBSTITUTE(SUBSTITUTE(SUBSTITUTE(UPPER(S17),"Å","A"),"É","E"),"È","E"),"Ê","E"),"Ë","E"),"Î","I"),"Ï","I"),"Ô","O")</f>
        <v>ARMENIE</v>
      </c>
      <c r="V17" s="38"/>
      <c r="W17" s="38"/>
      <c r="X17" s="53"/>
      <c r="Y17" s="42"/>
      <c r="Z17" s="42"/>
      <c r="AA17" s="42"/>
    </row>
    <row r="18" ht="13.75" customHeight="1">
      <c r="A18" s="14"/>
      <c r="B18" s="50"/>
      <c r="C18" s="43"/>
      <c r="D18" s="43"/>
      <c r="E18" s="44"/>
      <c r="F18" s="44"/>
      <c r="G18" s="44"/>
      <c r="H18" s="45"/>
      <c r="I18" s="54"/>
      <c r="J18" s="47" t="str">
        <f>IF(OR(K18="ERREUR",L18="ERREUR",M18="ERREUR",N18="ERREUR",O18="ERREUR",P18="ERREUR",Q18="ERREUR"),"ERREUR",IF(AND(K18="",L18="",M18="",N18="",O18="",P18="",Q18=""),"ligne vide",IF(OR(K18="",L18="",M18="",N18="",O18="",P18="",Q18=""),"ligne incomplète","Valide")))</f>
        <v xml:space="preserve">ligne vide</v>
      </c>
      <c r="K18" s="48" t="str">
        <f>IF(ISBLANK(B18),IF(ISBLANK(B19),T(B18),"ERREUR"),IF(ISNUMBER(B18),_xlfn.NUMBERVALUE(B18),IF(ISTEXT(B18),VALUE(B18),"ERREUR")))</f>
        <v/>
      </c>
      <c r="L18" s="38" t="str">
        <f>IF(COUNTIF($R$4:$R$6,C18)&gt;0,C18,IF(ISBLANK(C18),IF(ISBLANK(C19),T(C18),"ERREUR"),"ERREUR"))</f>
        <v/>
      </c>
      <c r="M18" s="49" t="str">
        <f>IF(ISBLANK(D18),IF(ISBLANK(D19),T(D18),"ERREUR"),IF(COUNTIF($T$4:$T$240,SUBSTITUTE(SUBSTITUTE(SUBSTITUTE(SUBSTITUTE(SUBSTITUTE(SUBSTITUTE(UPPER(D18),"Å","A"),"É","E"),"È","E"),"Ê","E"),"Î","I"),"Ï","I"))&gt;0,D18,IF(ISBLANK(D18),T(D18),"ERREUR")))</f>
        <v/>
      </c>
      <c r="N18" s="38" t="str">
        <f>IF(COUNTIF($V$4:$V$6,E18)&gt;0,E18,IF(ISBLANK(E18),IF(ISBLANK(E19),T(E18),"ERREUR"),"ERREUR"))</f>
        <v/>
      </c>
      <c r="O18" s="38" t="str">
        <f>IF(COUNTIF($W$4:$W$5,F18)&gt;0,F18,IF(ISBLANK(F18),IF(ISBLANK(F19),T(F18),"ERREUR"),"ERREUR"))</f>
        <v/>
      </c>
      <c r="P18" s="38" t="str">
        <f>IF(COUNTIF($X$4:$X$8,G18)&gt;0,G18,IF(ISBLANK(G18),IF(ISBLANK(G19),T(G18),"ERREUR"),"ERREUR"))</f>
        <v/>
      </c>
      <c r="Q18" s="38" t="str">
        <f>IF(ISNUMBER(H18),IF(INT(H18)=H18,H18,"ERREUR"),IF(ISBLANK(H18),IF(ISBLANK(H19),T(H18),"ERREUR"),"ERREUR"))</f>
        <v/>
      </c>
      <c r="R18" s="38"/>
      <c r="S18" s="1" t="s">
        <v>76</v>
      </c>
      <c r="T18" s="39" t="s">
        <v>77</v>
      </c>
      <c r="U18" s="38" t="str">
        <f>SUBSTITUTE(SUBSTITUTE(SUBSTITUTE(SUBSTITUTE(SUBSTITUTE(SUBSTITUTE(SUBSTITUTE(SUBSTITUTE(UPPER(S18),"Å","A"),"É","E"),"È","E"),"Ê","E"),"Ë","E"),"Î","I"),"Ï","I"),"Ô","O")</f>
        <v>ARUBA</v>
      </c>
      <c r="V18" s="38"/>
      <c r="W18" s="38"/>
      <c r="X18" s="53"/>
      <c r="Y18" s="42"/>
      <c r="Z18" s="42"/>
      <c r="AA18" s="42"/>
    </row>
    <row r="19" ht="13.75" customHeight="1">
      <c r="A19" s="14"/>
      <c r="B19" s="50"/>
      <c r="C19" s="43"/>
      <c r="D19" s="43"/>
      <c r="E19" s="44"/>
      <c r="F19" s="44"/>
      <c r="G19" s="44"/>
      <c r="H19" s="45"/>
      <c r="I19" s="54"/>
      <c r="J19" s="47" t="str">
        <f>IF(OR(K19="ERREUR",L19="ERREUR",M19="ERREUR",N19="ERREUR",O19="ERREUR",P19="ERREUR",Q19="ERREUR"),"ERREUR",IF(AND(K19="",L19="",M19="",N19="",O19="",P19="",Q19=""),"ligne vide",IF(OR(K19="",L19="",M19="",N19="",O19="",P19="",Q19=""),"ligne incomplète","Valide")))</f>
        <v xml:space="preserve">ligne vide</v>
      </c>
      <c r="K19" s="48" t="str">
        <f>IF(ISBLANK(B19),IF(ISBLANK(B20),T(B19),"ERREUR"),IF(ISNUMBER(B19),_xlfn.NUMBERVALUE(B19),IF(ISTEXT(B19),VALUE(B19),"ERREUR")))</f>
        <v/>
      </c>
      <c r="L19" s="38" t="str">
        <f>IF(COUNTIF($R$4:$R$6,C19)&gt;0,C19,IF(ISBLANK(C19),IF(ISBLANK(C20),T(C19),"ERREUR"),"ERREUR"))</f>
        <v/>
      </c>
      <c r="M19" s="49" t="str">
        <f>IF(ISBLANK(D19),IF(ISBLANK(D20),T(D19),"ERREUR"),IF(COUNTIF($T$4:$T$240,SUBSTITUTE(SUBSTITUTE(SUBSTITUTE(SUBSTITUTE(SUBSTITUTE(SUBSTITUTE(UPPER(D19),"Å","A"),"É","E"),"È","E"),"Ê","E"),"Î","I"),"Ï","I"))&gt;0,D19,IF(ISBLANK(D19),T(D19),"ERREUR")))</f>
        <v/>
      </c>
      <c r="N19" s="38" t="str">
        <f>IF(COUNTIF($V$4:$V$6,E19)&gt;0,E19,IF(ISBLANK(E19),IF(ISBLANK(E20),T(E19),"ERREUR"),"ERREUR"))</f>
        <v/>
      </c>
      <c r="O19" s="38" t="str">
        <f>IF(COUNTIF($W$4:$W$5,F19)&gt;0,F19,IF(ISBLANK(F19),IF(ISBLANK(F20),T(F19),"ERREUR"),"ERREUR"))</f>
        <v/>
      </c>
      <c r="P19" s="38" t="str">
        <f>IF(COUNTIF($X$4:$X$8,G19)&gt;0,G19,IF(ISBLANK(G19),IF(ISBLANK(G20),T(G19),"ERREUR"),"ERREUR"))</f>
        <v/>
      </c>
      <c r="Q19" s="38" t="str">
        <f>IF(ISNUMBER(H19),IF(INT(H19)=H19,H19,"ERREUR"),IF(ISBLANK(H19),IF(ISBLANK(H20),T(H19),"ERREUR"),"ERREUR"))</f>
        <v/>
      </c>
      <c r="R19" s="38"/>
      <c r="S19" s="1" t="s">
        <v>78</v>
      </c>
      <c r="T19" s="39" t="s">
        <v>79</v>
      </c>
      <c r="U19" s="38" t="str">
        <f>SUBSTITUTE(SUBSTITUTE(SUBSTITUTE(SUBSTITUTE(SUBSTITUTE(SUBSTITUTE(SUBSTITUTE(SUBSTITUTE(UPPER(S19),"Å","A"),"É","E"),"È","E"),"Ê","E"),"Ë","E"),"Î","I"),"Ï","I"),"Ô","O")</f>
        <v>AUSTRALIE</v>
      </c>
      <c r="V19" s="38"/>
      <c r="W19" s="38"/>
      <c r="X19" s="53"/>
      <c r="Y19" s="42"/>
      <c r="Z19" s="42"/>
      <c r="AA19" s="42"/>
    </row>
    <row r="20" ht="13.75" customHeight="1">
      <c r="A20" s="14"/>
      <c r="B20" s="50"/>
      <c r="C20" s="43"/>
      <c r="D20" s="43"/>
      <c r="E20" s="44"/>
      <c r="F20" s="44"/>
      <c r="G20" s="44"/>
      <c r="H20" s="45"/>
      <c r="I20" s="54"/>
      <c r="J20" s="47" t="str">
        <f>IF(OR(K20="ERREUR",L20="ERREUR",M20="ERREUR",N20="ERREUR",O20="ERREUR",P20="ERREUR",Q20="ERREUR"),"ERREUR",IF(AND(K20="",L20="",M20="",N20="",O20="",P20="",Q20=""),"ligne vide",IF(OR(K20="",L20="",M20="",N20="",O20="",P20="",Q20=""),"ligne incomplète","Valide")))</f>
        <v xml:space="preserve">ligne vide</v>
      </c>
      <c r="K20" s="48" t="str">
        <f>IF(ISBLANK(B20),IF(ISBLANK(B21),T(B20),"ERREUR"),IF(ISNUMBER(B20),_xlfn.NUMBERVALUE(B20),IF(ISTEXT(B20),VALUE(B20),"ERREUR")))</f>
        <v/>
      </c>
      <c r="L20" s="38" t="str">
        <f>IF(COUNTIF($R$4:$R$6,C20)&gt;0,C20,IF(ISBLANK(C20),IF(ISBLANK(C21),T(C20),"ERREUR"),"ERREUR"))</f>
        <v/>
      </c>
      <c r="M20" s="49" t="str">
        <f>IF(ISBLANK(D20),IF(ISBLANK(D21),T(D20),"ERREUR"),IF(COUNTIF($T$4:$T$240,SUBSTITUTE(SUBSTITUTE(SUBSTITUTE(SUBSTITUTE(SUBSTITUTE(SUBSTITUTE(UPPER(D20),"Å","A"),"É","E"),"È","E"),"Ê","E"),"Î","I"),"Ï","I"))&gt;0,D20,IF(ISBLANK(D20),T(D20),"ERREUR")))</f>
        <v/>
      </c>
      <c r="N20" s="38" t="str">
        <f>IF(COUNTIF($V$4:$V$6,E20)&gt;0,E20,IF(ISBLANK(E20),IF(ISBLANK(E21),T(E20),"ERREUR"),"ERREUR"))</f>
        <v/>
      </c>
      <c r="O20" s="38" t="str">
        <f>IF(COUNTIF($W$4:$W$5,F20)&gt;0,F20,IF(ISBLANK(F20),IF(ISBLANK(F21),T(F20),"ERREUR"),"ERREUR"))</f>
        <v/>
      </c>
      <c r="P20" s="38" t="str">
        <f>IF(COUNTIF($X$4:$X$8,G20)&gt;0,G20,IF(ISBLANK(G20),IF(ISBLANK(G21),T(G20),"ERREUR"),"ERREUR"))</f>
        <v/>
      </c>
      <c r="Q20" s="38" t="str">
        <f>IF(ISNUMBER(H20),IF(INT(H20)=H20,H20,"ERREUR"),IF(ISBLANK(H20),IF(ISBLANK(H21),T(H20),"ERREUR"),"ERREUR"))</f>
        <v/>
      </c>
      <c r="R20" s="38"/>
      <c r="S20" s="1" t="s">
        <v>80</v>
      </c>
      <c r="T20" s="39" t="s">
        <v>81</v>
      </c>
      <c r="U20" s="38" t="str">
        <f>SUBSTITUTE(SUBSTITUTE(SUBSTITUTE(SUBSTITUTE(SUBSTITUTE(SUBSTITUTE(SUBSTITUTE(SUBSTITUTE(UPPER(S20),"Å","A"),"É","E"),"È","E"),"Ê","E"),"Ë","E"),"Î","I"),"Ï","I"),"Ô","O")</f>
        <v>AUTRICHE</v>
      </c>
      <c r="V20" s="38"/>
      <c r="W20" s="38"/>
      <c r="X20" s="53"/>
      <c r="Y20" s="42"/>
      <c r="Z20" s="42"/>
      <c r="AA20" s="42"/>
    </row>
    <row r="21" ht="13.75" customHeight="1">
      <c r="A21" s="14"/>
      <c r="B21" s="50"/>
      <c r="C21" s="43"/>
      <c r="D21" s="43"/>
      <c r="E21" s="44"/>
      <c r="F21" s="44"/>
      <c r="G21" s="44"/>
      <c r="H21" s="45"/>
      <c r="I21" s="51"/>
      <c r="J21" s="47" t="str">
        <f>IF(OR(K21="ERREUR",L21="ERREUR",M21="ERREUR",N21="ERREUR",O21="ERREUR",P21="ERREUR",Q21="ERREUR"),"ERREUR",IF(AND(K21="",L21="",M21="",N21="",O21="",P21="",Q21=""),"ligne vide",IF(OR(K21="",L21="",M21="",N21="",O21="",P21="",Q21=""),"ligne incomplète","Valide")))</f>
        <v xml:space="preserve">ligne vide</v>
      </c>
      <c r="K21" s="48" t="str">
        <f>IF(ISBLANK(B21),IF(ISBLANK(B22),T(B21),"ERREUR"),IF(ISNUMBER(B21),_xlfn.NUMBERVALUE(B21),IF(ISTEXT(B21),VALUE(B21),"ERREUR")))</f>
        <v/>
      </c>
      <c r="L21" s="38" t="str">
        <f>IF(COUNTIF($R$4:$R$6,C21)&gt;0,C21,IF(ISBLANK(C21),IF(ISBLANK(C22),T(C21),"ERREUR"),"ERREUR"))</f>
        <v/>
      </c>
      <c r="M21" s="49" t="str">
        <f>IF(ISBLANK(D21),IF(ISBLANK(D22),T(D21),"ERREUR"),IF(COUNTIF($T$4:$T$240,SUBSTITUTE(SUBSTITUTE(SUBSTITUTE(SUBSTITUTE(SUBSTITUTE(SUBSTITUTE(UPPER(D21),"Å","A"),"É","E"),"È","E"),"Ê","E"),"Î","I"),"Ï","I"))&gt;0,D21,IF(ISBLANK(D21),T(D21),"ERREUR")))</f>
        <v/>
      </c>
      <c r="N21" s="38" t="str">
        <f>IF(COUNTIF($V$4:$V$6,E21)&gt;0,E21,IF(ISBLANK(E21),IF(ISBLANK(E22),T(E21),"ERREUR"),"ERREUR"))</f>
        <v/>
      </c>
      <c r="O21" s="38" t="str">
        <f>IF(COUNTIF($W$4:$W$5,F21)&gt;0,F21,IF(ISBLANK(F21),IF(ISBLANK(F22),T(F21),"ERREUR"),"ERREUR"))</f>
        <v/>
      </c>
      <c r="P21" s="38" t="str">
        <f>IF(COUNTIF($X$4:$X$8,G21)&gt;0,G21,IF(ISBLANK(G21),IF(ISBLANK(G22),T(G21),"ERREUR"),"ERREUR"))</f>
        <v/>
      </c>
      <c r="Q21" s="38" t="str">
        <f>IF(ISNUMBER(H21),IF(INT(H21)=H21,H21,"ERREUR"),IF(ISBLANK(H21),IF(ISBLANK(H22),T(H21),"ERREUR"),"ERREUR"))</f>
        <v/>
      </c>
      <c r="R21" s="38"/>
      <c r="S21" s="1" t="s">
        <v>82</v>
      </c>
      <c r="T21" s="39" t="s">
        <v>83</v>
      </c>
      <c r="U21" s="38" t="str">
        <f>SUBSTITUTE(SUBSTITUTE(SUBSTITUTE(SUBSTITUTE(SUBSTITUTE(SUBSTITUTE(SUBSTITUTE(SUBSTITUTE(UPPER(S21),"Å","A"),"É","E"),"È","E"),"Ê","E"),"Ë","E"),"Î","I"),"Ï","I"),"Ô","O")</f>
        <v>AZERBAIDJAN</v>
      </c>
      <c r="V21" s="38"/>
      <c r="W21" s="38"/>
      <c r="X21" s="53"/>
      <c r="Y21" s="42"/>
      <c r="Z21" s="42"/>
      <c r="AA21" s="42"/>
    </row>
    <row r="22" ht="13.75" customHeight="1">
      <c r="A22" s="14"/>
      <c r="B22" s="50"/>
      <c r="C22" s="43"/>
      <c r="D22" s="43"/>
      <c r="E22" s="44"/>
      <c r="F22" s="44"/>
      <c r="G22" s="44"/>
      <c r="H22" s="45"/>
      <c r="I22" s="51"/>
      <c r="J22" s="47" t="str">
        <f>IF(OR(K22="ERREUR",L22="ERREUR",M22="ERREUR",N22="ERREUR",O22="ERREUR",P22="ERREUR",Q22="ERREUR"),"ERREUR",IF(AND(K22="",L22="",M22="",N22="",O22="",P22="",Q22=""),"ligne vide",IF(OR(K22="",L22="",M22="",N22="",O22="",P22="",Q22=""),"ligne incomplète","Valide")))</f>
        <v xml:space="preserve">ligne vide</v>
      </c>
      <c r="K22" s="48" t="str">
        <f>IF(ISBLANK(B22),IF(ISBLANK(B23),T(B22),"ERREUR"),IF(ISNUMBER(B22),_xlfn.NUMBERVALUE(B22),IF(ISTEXT(B22),VALUE(B22),"ERREUR")))</f>
        <v/>
      </c>
      <c r="L22" s="38" t="str">
        <f>IF(COUNTIF($R$4:$R$6,C22)&gt;0,C22,IF(ISBLANK(C22),IF(ISBLANK(D22),T(C22),"ERREUR"),"ERREUR"))</f>
        <v/>
      </c>
      <c r="M22" s="49" t="str">
        <f>IF(ISBLANK(D22),IF(ISBLANK(D23),T(D22),"ERREUR"),IF(COUNTIF($T$4:$T$240,SUBSTITUTE(SUBSTITUTE(SUBSTITUTE(SUBSTITUTE(SUBSTITUTE(SUBSTITUTE(UPPER(D22),"Å","A"),"É","E"),"È","E"),"Ê","E"),"Î","I"),"Ï","I"))&gt;0,D22,IF(ISBLANK(D22),T(D22),"ERREUR")))</f>
        <v/>
      </c>
      <c r="N22" s="38" t="str">
        <f>IF(COUNTIF($V$4:$V$6,E22)&gt;0,E22,IF(ISBLANK(E22),IF(ISBLANK(E23),T(E22),"ERREUR"),"ERREUR"))</f>
        <v/>
      </c>
      <c r="O22" s="38" t="str">
        <f>IF(COUNTIF($W$4:$W$5,F22)&gt;0,F22,IF(ISBLANK(F22),IF(ISBLANK(F23),T(F22),"ERREUR"),"ERREUR"))</f>
        <v/>
      </c>
      <c r="P22" s="38" t="str">
        <f>IF(COUNTIF($X$4:$X$8,G22)&gt;0,G22,IF(ISBLANK(G22),IF(ISBLANK(G23),T(G22),"ERREUR"),"ERREUR"))</f>
        <v/>
      </c>
      <c r="Q22" s="38" t="str">
        <f>IF(ISNUMBER(H22),IF(INT(H22)=H22,H22,"ERREUR"),IF(ISBLANK(H22),IF(ISBLANK(H23),T(H22),"ERREUR"),"ERREUR"))</f>
        <v/>
      </c>
      <c r="R22" s="38"/>
      <c r="S22" s="1" t="s">
        <v>84</v>
      </c>
      <c r="T22" s="39" t="s">
        <v>85</v>
      </c>
      <c r="U22" s="38" t="str">
        <f>SUBSTITUTE(SUBSTITUTE(SUBSTITUTE(SUBSTITUTE(SUBSTITUTE(SUBSTITUTE(SUBSTITUTE(SUBSTITUTE(UPPER(S22),"Å","A"),"É","E"),"È","E"),"Ê","E"),"Ë","E"),"Î","I"),"Ï","I"),"Ô","O")</f>
        <v>BAHAMAS</v>
      </c>
      <c r="V22" s="38"/>
      <c r="W22" s="38"/>
      <c r="X22" s="53"/>
      <c r="Y22" s="42"/>
      <c r="Z22" s="42"/>
      <c r="AA22" s="42"/>
    </row>
    <row r="23" ht="13.75" customHeight="1">
      <c r="A23" s="14"/>
      <c r="B23" s="50"/>
      <c r="C23" s="43"/>
      <c r="D23" s="43"/>
      <c r="E23" s="44"/>
      <c r="F23" s="44"/>
      <c r="G23" s="44"/>
      <c r="H23" s="45"/>
      <c r="I23" s="51"/>
      <c r="J23" s="47" t="str">
        <f>IF(OR(K23="ERREUR",L23="ERREUR",M23="ERREUR",N23="ERREUR",O23="ERREUR",P23="ERREUR",Q23="ERREUR"),"ERREUR",IF(AND(K23="",L23="",M23="",N23="",O23="",P23="",Q23=""),"ligne vide",IF(OR(K23="",L23="",M23="",N23="",O23="",P23="",Q23=""),"ligne incomplète","Valide")))</f>
        <v xml:space="preserve">ligne vide</v>
      </c>
      <c r="K23" s="48" t="str">
        <f>IF(ISBLANK(B23),IF(ISBLANK(B24),T(B23),"ERREUR"),IF(ISNUMBER(B23),_xlfn.NUMBERVALUE(B23),IF(ISTEXT(B23),VALUE(B23),"ERREUR")))</f>
        <v/>
      </c>
      <c r="L23" s="38" t="str">
        <f>IF(COUNTIF($R$4:$R$6,C23)&gt;0,C23,IF(ISBLANK(C23),IF(ISBLANK(D23),T(C23),"ERREUR"),"ERREUR"))</f>
        <v/>
      </c>
      <c r="M23" s="49" t="str">
        <f>IF(ISBLANK(D23),IF(ISBLANK(D24),T(D23),"ERREUR"),IF(COUNTIF($T$4:$T$240,SUBSTITUTE(SUBSTITUTE(SUBSTITUTE(SUBSTITUTE(SUBSTITUTE(SUBSTITUTE(UPPER(D23),"Å","A"),"É","E"),"È","E"),"Ê","E"),"Î","I"),"Ï","I"))&gt;0,D23,IF(ISBLANK(D23),T(D23),"ERREUR")))</f>
        <v/>
      </c>
      <c r="N23" s="38" t="str">
        <f>IF(COUNTIF($V$4:$V$6,E23)&gt;0,E23,IF(ISBLANK(E23),IF(ISBLANK(E24),T(E23),"ERREUR"),"ERREUR"))</f>
        <v/>
      </c>
      <c r="O23" s="38" t="str">
        <f>IF(COUNTIF($W$4:$W$5,F23)&gt;0,F23,IF(ISBLANK(F23),IF(ISBLANK(F24),T(F23),"ERREUR"),"ERREUR"))</f>
        <v/>
      </c>
      <c r="P23" s="38" t="str">
        <f>IF(COUNTIF($X$4:$X$8,G23)&gt;0,G23,IF(ISBLANK(G23),IF(ISBLANK(G24),T(G23),"ERREUR"),"ERREUR"))</f>
        <v/>
      </c>
      <c r="Q23" s="38" t="str">
        <f>IF(ISNUMBER(H23),IF(INT(H23)=H23,H23,"ERREUR"),IF(ISBLANK(H23),IF(ISBLANK(H24),T(H23),"ERREUR"),"ERREUR"))</f>
        <v/>
      </c>
      <c r="R23" s="38"/>
      <c r="S23" s="1" t="s">
        <v>86</v>
      </c>
      <c r="T23" s="39" t="s">
        <v>87</v>
      </c>
      <c r="U23" s="38" t="str">
        <f>SUBSTITUTE(SUBSTITUTE(SUBSTITUTE(SUBSTITUTE(SUBSTITUTE(SUBSTITUTE(SUBSTITUTE(SUBSTITUTE(UPPER(S23),"Å","A"),"É","E"),"È","E"),"Ê","E"),"Ë","E"),"Î","I"),"Ï","I"),"Ô","O")</f>
        <v>BAHREIN</v>
      </c>
      <c r="V23" s="38"/>
      <c r="W23" s="38"/>
      <c r="X23" s="53"/>
      <c r="Y23" s="42"/>
      <c r="Z23" s="42"/>
      <c r="AA23" s="42"/>
    </row>
    <row r="24" ht="13.75" customHeight="1">
      <c r="A24" s="14"/>
      <c r="B24" s="50"/>
      <c r="C24" s="43"/>
      <c r="D24" s="43"/>
      <c r="E24" s="44"/>
      <c r="F24" s="44"/>
      <c r="G24" s="44"/>
      <c r="H24" s="45"/>
      <c r="I24" s="55"/>
      <c r="J24" s="47" t="str">
        <f>IF(OR(K24="ERREUR",L24="ERREUR",M24="ERREUR",N24="ERREUR",O24="ERREUR",P24="ERREUR",Q24="ERREUR"),"ERREUR",IF(AND(K24="",L24="",M24="",N24="",O24="",P24="",Q24=""),"ligne vide",IF(OR(K24="",L24="",M24="",N24="",O24="",P24="",Q24=""),"ligne incomplète","Valide")))</f>
        <v xml:space="preserve">ligne vide</v>
      </c>
      <c r="K24" s="48" t="str">
        <f>IF(ISBLANK(B24),IF(ISBLANK(B25),T(B24),"ERREUR"),IF(ISNUMBER(B24),_xlfn.NUMBERVALUE(B24),IF(ISTEXT(B24),VALUE(B24),"ERREUR")))</f>
        <v/>
      </c>
      <c r="L24" s="38" t="str">
        <f>IF(COUNTIF($R$4:$R$6,C24)&gt;0,C24,IF(ISBLANK(C24),IF(ISBLANK(D24),T(C24),"ERREUR"),"ERREUR"))</f>
        <v/>
      </c>
      <c r="M24" s="49" t="str">
        <f>IF(ISBLANK(D24),IF(ISBLANK(D25),T(D24),"ERREUR"),IF(COUNTIF($T$4:$T$240,SUBSTITUTE(SUBSTITUTE(SUBSTITUTE(SUBSTITUTE(SUBSTITUTE(SUBSTITUTE(UPPER(D24),"Å","A"),"É","E"),"È","E"),"Ê","E"),"Î","I"),"Ï","I"))&gt;0,D24,IF(ISBLANK(D24),T(D24),"ERREUR")))</f>
        <v/>
      </c>
      <c r="N24" s="38" t="str">
        <f>IF(COUNTIF($V$4:$V$6,E24)&gt;0,E24,IF(ISBLANK(E24),IF(ISBLANK(E25),T(E24),"ERREUR"),"ERREUR"))</f>
        <v/>
      </c>
      <c r="O24" s="38" t="str">
        <f>IF(COUNTIF($W$4:$W$5,F24)&gt;0,F24,IF(ISBLANK(F24),IF(ISBLANK(F25),T(F24),"ERREUR"),"ERREUR"))</f>
        <v/>
      </c>
      <c r="P24" s="38" t="str">
        <f>IF(COUNTIF($X$4:$X$8,G24)&gt;0,G24,IF(ISBLANK(G24),IF(ISBLANK(G25),T(G24),"ERREUR"),"ERREUR"))</f>
        <v/>
      </c>
      <c r="Q24" s="38" t="str">
        <f>IF(ISNUMBER(H24),IF(INT(H24)=H24,H24,"ERREUR"),IF(ISBLANK(H24),IF(ISBLANK(H25),T(H24),"ERREUR"),"ERREUR"))</f>
        <v/>
      </c>
      <c r="R24" s="38"/>
      <c r="S24" s="1" t="s">
        <v>88</v>
      </c>
      <c r="T24" s="39" t="s">
        <v>89</v>
      </c>
      <c r="U24" s="38" t="str">
        <f>SUBSTITUTE(SUBSTITUTE(SUBSTITUTE(SUBSTITUTE(SUBSTITUTE(SUBSTITUTE(SUBSTITUTE(SUBSTITUTE(UPPER(S24),"Å","A"),"É","E"),"È","E"),"Ê","E"),"Ë","E"),"Î","I"),"Ï","I"),"Ô","O")</f>
        <v>BANGLADESH</v>
      </c>
      <c r="V24" s="38"/>
      <c r="W24" s="38"/>
      <c r="X24" s="53"/>
      <c r="Y24" s="42"/>
      <c r="Z24" s="42"/>
      <c r="AA24" s="42"/>
    </row>
    <row r="25" ht="13.75" customHeight="1">
      <c r="A25" s="14"/>
      <c r="B25" s="50"/>
      <c r="C25" s="43"/>
      <c r="D25" s="43"/>
      <c r="E25" s="44"/>
      <c r="F25" s="44"/>
      <c r="G25" s="44"/>
      <c r="H25" s="45"/>
      <c r="I25" s="55"/>
      <c r="J25" s="47" t="str">
        <f>IF(OR(K25="ERREUR",L25="ERREUR",M25="ERREUR",N25="ERREUR",O25="ERREUR",P25="ERREUR",Q25="ERREUR"),"ERREUR",IF(AND(K25="",L25="",M25="",N25="",O25="",P25="",Q25=""),"ligne vide",IF(OR(K25="",L25="",M25="",N25="",O25="",P25="",Q25=""),"ligne incomplète","Valide")))</f>
        <v xml:space="preserve">ligne vide</v>
      </c>
      <c r="K25" s="48" t="str">
        <f>IF(ISBLANK(B25),IF(ISBLANK(B26),T(B25),"ERREUR"),IF(ISNUMBER(B25),_xlfn.NUMBERVALUE(B25),IF(ISTEXT(B25),VALUE(B25),"ERREUR")))</f>
        <v/>
      </c>
      <c r="L25" s="38" t="str">
        <f>IF(COUNTIF($R$4:$R$6,C25)&gt;0,C25,IF(ISBLANK(C25),IF(ISBLANK(D25),T(C25),"ERREUR"),"ERREUR"))</f>
        <v/>
      </c>
      <c r="M25" s="49" t="str">
        <f>IF(ISBLANK(D25),IF(ISBLANK(D26),T(D25),"ERREUR"),IF(COUNTIF($T$4:$T$240,SUBSTITUTE(SUBSTITUTE(SUBSTITUTE(SUBSTITUTE(SUBSTITUTE(SUBSTITUTE(UPPER(D25),"Å","A"),"É","E"),"È","E"),"Ê","E"),"Î","I"),"Ï","I"))&gt;0,D25,IF(ISBLANK(D25),T(D25),"ERREUR")))</f>
        <v/>
      </c>
      <c r="N25" s="38" t="str">
        <f>IF(COUNTIF($V$4:$V$6,E25)&gt;0,E25,IF(ISBLANK(E25),IF(ISBLANK(E26),T(E25),"ERREUR"),"ERREUR"))</f>
        <v/>
      </c>
      <c r="O25" s="38" t="str">
        <f>IF(COUNTIF($W$4:$W$5,F25)&gt;0,F25,IF(ISBLANK(F25),IF(ISBLANK(F26),T(F25),"ERREUR"),"ERREUR"))</f>
        <v/>
      </c>
      <c r="P25" s="38" t="str">
        <f>IF(COUNTIF($X$4:$X$8,G25)&gt;0,G25,IF(ISBLANK(G25),IF(ISBLANK(G26),T(G25),"ERREUR"),"ERREUR"))</f>
        <v/>
      </c>
      <c r="Q25" s="38" t="str">
        <f>IF(ISNUMBER(H25),IF(INT(H25)=H25,H25,"ERREUR"),IF(ISBLANK(H25),IF(ISBLANK(H26),T(H25),"ERREUR"),"ERREUR"))</f>
        <v/>
      </c>
      <c r="R25" s="38"/>
      <c r="S25" s="1" t="s">
        <v>90</v>
      </c>
      <c r="T25" s="39" t="s">
        <v>91</v>
      </c>
      <c r="U25" s="38" t="str">
        <f>SUBSTITUTE(SUBSTITUTE(SUBSTITUTE(SUBSTITUTE(SUBSTITUTE(SUBSTITUTE(SUBSTITUTE(SUBSTITUTE(UPPER(S25),"Å","A"),"É","E"),"È","E"),"Ê","E"),"Ë","E"),"Î","I"),"Ï","I"),"Ô","O")</f>
        <v>BARBADE</v>
      </c>
      <c r="V25" s="38"/>
      <c r="W25" s="38"/>
      <c r="X25" s="53"/>
      <c r="Y25" s="42"/>
      <c r="Z25" s="42"/>
      <c r="AA25" s="42"/>
    </row>
    <row r="26" ht="13.75" customHeight="1">
      <c r="A26" s="14"/>
      <c r="B26" s="50"/>
      <c r="C26" s="43"/>
      <c r="D26" s="43"/>
      <c r="E26" s="44"/>
      <c r="F26" s="44"/>
      <c r="G26" s="44"/>
      <c r="H26" s="45"/>
      <c r="I26" s="55"/>
      <c r="J26" s="47" t="str">
        <f>IF(OR(K26="ERREUR",L26="ERREUR",M26="ERREUR",N26="ERREUR",O26="ERREUR",P26="ERREUR",Q26="ERREUR"),"ERREUR",IF(AND(K26="",L26="",M26="",N26="",O26="",P26="",Q26=""),"ligne vide",IF(OR(K26="",L26="",M26="",N26="",O26="",P26="",Q26=""),"ligne incomplète","Valide")))</f>
        <v xml:space="preserve">ligne vide</v>
      </c>
      <c r="K26" s="48" t="str">
        <f>IF(ISBLANK(B26),IF(ISBLANK(B27),T(B26),"ERREUR"),IF(ISNUMBER(B26),_xlfn.NUMBERVALUE(B26),IF(ISTEXT(B26),VALUE(B26),"ERREUR")))</f>
        <v/>
      </c>
      <c r="L26" s="38" t="str">
        <f>IF(COUNTIF($R$4:$R$6,C26)&gt;0,C26,IF(ISBLANK(C26),IF(ISBLANK(D26),T(C26),"ERREUR"),"ERREUR"))</f>
        <v/>
      </c>
      <c r="M26" s="49" t="str">
        <f>IF(ISBLANK(D26),IF(ISBLANK(D27),T(D26),"ERREUR"),IF(COUNTIF($T$4:$T$240,SUBSTITUTE(SUBSTITUTE(SUBSTITUTE(SUBSTITUTE(SUBSTITUTE(SUBSTITUTE(UPPER(D26),"Å","A"),"É","E"),"È","E"),"Ê","E"),"Î","I"),"Ï","I"))&gt;0,D26,IF(ISBLANK(D26),T(D26),"ERREUR")))</f>
        <v/>
      </c>
      <c r="N26" s="38" t="str">
        <f>IF(COUNTIF($V$4:$V$6,E26)&gt;0,E26,IF(ISBLANK(E26),IF(ISBLANK(E27),T(E26),"ERREUR"),"ERREUR"))</f>
        <v/>
      </c>
      <c r="O26" s="38" t="str">
        <f>IF(COUNTIF($W$4:$W$5,F26)&gt;0,F26,IF(ISBLANK(F26),IF(ISBLANK(F27),T(F26),"ERREUR"),"ERREUR"))</f>
        <v/>
      </c>
      <c r="P26" s="38" t="str">
        <f>IF(COUNTIF($X$4:$X$8,G26)&gt;0,G26,IF(ISBLANK(G26),IF(ISBLANK(G27),T(G26),"ERREUR"),"ERREUR"))</f>
        <v/>
      </c>
      <c r="Q26" s="38" t="str">
        <f>IF(ISNUMBER(H26),IF(INT(H26)=H26,H26,"ERREUR"),IF(ISBLANK(H26),IF(ISBLANK(H27),T(H26),"ERREUR"),"ERREUR"))</f>
        <v/>
      </c>
      <c r="R26" s="38"/>
      <c r="S26" s="1" t="s">
        <v>92</v>
      </c>
      <c r="T26" s="39" t="s">
        <v>93</v>
      </c>
      <c r="U26" s="38" t="str">
        <f>SUBSTITUTE(SUBSTITUTE(SUBSTITUTE(SUBSTITUTE(SUBSTITUTE(SUBSTITUTE(SUBSTITUTE(SUBSTITUTE(UPPER(S26),"Å","A"),"É","E"),"È","E"),"Ê","E"),"Ë","E"),"Î","I"),"Ï","I"),"Ô","O")</f>
        <v>BELARUS</v>
      </c>
      <c r="V26" s="38"/>
      <c r="W26" s="38"/>
      <c r="X26" s="53"/>
      <c r="Y26" s="42"/>
      <c r="Z26" s="42"/>
      <c r="AA26" s="42"/>
    </row>
    <row r="27" ht="13.75" customHeight="1">
      <c r="A27" s="14"/>
      <c r="B27" s="50"/>
      <c r="C27" s="43"/>
      <c r="D27" s="43"/>
      <c r="E27" s="44"/>
      <c r="F27" s="44"/>
      <c r="G27" s="44"/>
      <c r="H27" s="45"/>
      <c r="I27" s="51"/>
      <c r="J27" s="47" t="str">
        <f>IF(OR(K27="ERREUR",L27="ERREUR",M27="ERREUR",N27="ERREUR",O27="ERREUR",P27="ERREUR",Q27="ERREUR"),"ERREUR",IF(AND(K27="",L27="",M27="",N27="",O27="",P27="",Q27=""),"ligne vide",IF(OR(K27="",L27="",M27="",N27="",O27="",P27="",Q27=""),"ligne incomplète","Valide")))</f>
        <v xml:space="preserve">ligne vide</v>
      </c>
      <c r="K27" s="48" t="str">
        <f>IF(ISBLANK(B27),IF(ISBLANK(B28),T(B27),"ERREUR"),IF(ISNUMBER(B27),_xlfn.NUMBERVALUE(B27),IF(ISTEXT(B27),VALUE(B27),"ERREUR")))</f>
        <v/>
      </c>
      <c r="L27" s="38" t="str">
        <f>IF(COUNTIF($R$4:$R$6,C27)&gt;0,C27,IF(ISBLANK(C27),IF(ISBLANK(D27),T(C27),"ERREUR"),"ERREUR"))</f>
        <v/>
      </c>
      <c r="M27" s="49" t="str">
        <f>IF(ISBLANK(D27),IF(ISBLANK(D28),T(D27),"ERREUR"),IF(COUNTIF($T$4:$T$240,SUBSTITUTE(SUBSTITUTE(SUBSTITUTE(SUBSTITUTE(SUBSTITUTE(SUBSTITUTE(UPPER(D27),"Å","A"),"É","E"),"È","E"),"Ê","E"),"Î","I"),"Ï","I"))&gt;0,D27,IF(ISBLANK(D27),T(D27),"ERREUR")))</f>
        <v/>
      </c>
      <c r="N27" s="38" t="str">
        <f>IF(COUNTIF($V$4:$V$6,E27)&gt;0,E27,IF(ISBLANK(E27),IF(ISBLANK(E28),T(E27),"ERREUR"),"ERREUR"))</f>
        <v/>
      </c>
      <c r="O27" s="38" t="str">
        <f>IF(COUNTIF($W$4:$W$5,F27)&gt;0,F27,IF(ISBLANK(F27),IF(ISBLANK(F28),T(F27),"ERREUR"),"ERREUR"))</f>
        <v/>
      </c>
      <c r="P27" s="38" t="str">
        <f>IF(COUNTIF($X$4:$X$8,G27)&gt;0,G27,IF(ISBLANK(G27),IF(ISBLANK(G28),T(G27),"ERREUR"),"ERREUR"))</f>
        <v/>
      </c>
      <c r="Q27" s="38" t="str">
        <f>IF(ISNUMBER(H27),IF(INT(H27)=H27,H27,"ERREUR"),IF(ISBLANK(H27),IF(ISBLANK(H28),T(H27),"ERREUR"),"ERREUR"))</f>
        <v/>
      </c>
      <c r="R27" s="38"/>
      <c r="S27" s="1" t="s">
        <v>94</v>
      </c>
      <c r="T27" s="39" t="s">
        <v>95</v>
      </c>
      <c r="U27" s="38" t="str">
        <f>SUBSTITUTE(SUBSTITUTE(SUBSTITUTE(SUBSTITUTE(SUBSTITUTE(SUBSTITUTE(SUBSTITUTE(SUBSTITUTE(UPPER(S27),"Å","A"),"É","E"),"È","E"),"Ê","E"),"Ë","E"),"Î","I"),"Ï","I"),"Ô","O")</f>
        <v>BELGIQUE</v>
      </c>
      <c r="V27" s="38"/>
      <c r="W27" s="38"/>
      <c r="X27" s="53"/>
      <c r="Y27" s="42"/>
      <c r="Z27" s="42"/>
      <c r="AA27" s="42"/>
    </row>
    <row r="28" ht="13.75" customHeight="1">
      <c r="A28" s="14"/>
      <c r="B28" s="50"/>
      <c r="C28" s="43"/>
      <c r="D28" s="43"/>
      <c r="E28" s="44"/>
      <c r="F28" s="44"/>
      <c r="G28" s="44"/>
      <c r="H28" s="45"/>
      <c r="I28" s="51"/>
      <c r="J28" s="47" t="str">
        <f>IF(OR(K28="ERREUR",L28="ERREUR",M28="ERREUR",N28="ERREUR",O28="ERREUR",P28="ERREUR",Q28="ERREUR"),"ERREUR",IF(AND(K28="",L28="",M28="",N28="",O28="",P28="",Q28=""),"ligne vide",IF(OR(K28="",L28="",M28="",N28="",O28="",P28="",Q28=""),"ligne incomplète","Valide")))</f>
        <v xml:space="preserve">ligne vide</v>
      </c>
      <c r="K28" s="48" t="str">
        <f>IF(ISBLANK(B28),IF(ISBLANK(B29),T(B28),"ERREUR"),IF(ISNUMBER(B28),_xlfn.NUMBERVALUE(B28),IF(ISTEXT(B28),VALUE(B28),"ERREUR")))</f>
        <v/>
      </c>
      <c r="L28" s="38" t="str">
        <f>IF(COUNTIF($R$4:$R$6,C28)&gt;0,C28,IF(ISBLANK(C28),IF(ISBLANK(D28),T(C28),"ERREUR"),"ERREUR"))</f>
        <v/>
      </c>
      <c r="M28" s="49" t="str">
        <f>IF(ISBLANK(D28),IF(ISBLANK(D29),T(D28),"ERREUR"),IF(COUNTIF($T$4:$T$240,SUBSTITUTE(SUBSTITUTE(SUBSTITUTE(SUBSTITUTE(SUBSTITUTE(SUBSTITUTE(UPPER(D28),"Å","A"),"É","E"),"È","E"),"Ê","E"),"Î","I"),"Ï","I"))&gt;0,D28,IF(ISBLANK(D28),T(D28),"ERREUR")))</f>
        <v/>
      </c>
      <c r="N28" s="38" t="str">
        <f>IF(COUNTIF($V$4:$V$6,E28)&gt;0,E28,IF(ISBLANK(E28),IF(ISBLANK(E29),T(E28),"ERREUR"),"ERREUR"))</f>
        <v/>
      </c>
      <c r="O28" s="38" t="str">
        <f>IF(COUNTIF($W$4:$W$5,F28)&gt;0,F28,IF(ISBLANK(F28),IF(ISBLANK(F29),T(F28),"ERREUR"),"ERREUR"))</f>
        <v/>
      </c>
      <c r="P28" s="38" t="str">
        <f>IF(COUNTIF($X$4:$X$8,G28)&gt;0,G28,IF(ISBLANK(G28),IF(ISBLANK(G29),T(G28),"ERREUR"),"ERREUR"))</f>
        <v/>
      </c>
      <c r="Q28" s="38" t="str">
        <f>IF(ISNUMBER(H28),IF(INT(H28)=H28,H28,"ERREUR"),IF(ISBLANK(H28),IF(ISBLANK(H29),T(H28),"ERREUR"),"ERREUR"))</f>
        <v/>
      </c>
      <c r="R28" s="38"/>
      <c r="S28" s="1" t="s">
        <v>96</v>
      </c>
      <c r="T28" s="39" t="s">
        <v>97</v>
      </c>
      <c r="U28" s="38" t="str">
        <f>SUBSTITUTE(SUBSTITUTE(SUBSTITUTE(SUBSTITUTE(SUBSTITUTE(SUBSTITUTE(SUBSTITUTE(SUBSTITUTE(UPPER(S28),"Å","A"),"É","E"),"È","E"),"Ê","E"),"Ë","E"),"Î","I"),"Ï","I"),"Ô","O")</f>
        <v>BELIZE</v>
      </c>
      <c r="V28" s="38"/>
      <c r="W28" s="38"/>
      <c r="X28" s="53"/>
      <c r="Y28" s="42"/>
      <c r="Z28" s="42"/>
      <c r="AA28" s="42"/>
    </row>
    <row r="29" ht="13.75" customHeight="1">
      <c r="A29" s="14"/>
      <c r="B29" s="50"/>
      <c r="C29" s="43"/>
      <c r="D29" s="43"/>
      <c r="E29" s="44"/>
      <c r="F29" s="44"/>
      <c r="G29" s="44"/>
      <c r="H29" s="45"/>
      <c r="I29" s="51"/>
      <c r="J29" s="47" t="str">
        <f>IF(OR(K29="ERREUR",L29="ERREUR",M29="ERREUR",N29="ERREUR",O29="ERREUR",P29="ERREUR",Q29="ERREUR"),"ERREUR",IF(AND(K29="",L29="",M29="",N29="",O29="",P29="",Q29=""),"ligne vide",IF(OR(K29="",L29="",M29="",N29="",O29="",P29="",Q29=""),"ligne incomplète","Valide")))</f>
        <v xml:space="preserve">ligne vide</v>
      </c>
      <c r="K29" s="48" t="str">
        <f>IF(ISBLANK(B29),IF(ISBLANK(B30),T(B29),"ERREUR"),IF(ISNUMBER(B29),_xlfn.NUMBERVALUE(B29),IF(ISTEXT(B29),VALUE(B29),"ERREUR")))</f>
        <v/>
      </c>
      <c r="L29" s="38" t="str">
        <f>IF(COUNTIF($R$4:$R$6,C29)&gt;0,C29,IF(ISBLANK(C29),IF(ISBLANK(D29),T(C29),"ERREUR"),"ERREUR"))</f>
        <v/>
      </c>
      <c r="M29" s="49" t="str">
        <f>IF(ISBLANK(D29),IF(ISBLANK(D30),T(D29),"ERREUR"),IF(COUNTIF($T$4:$T$240,SUBSTITUTE(SUBSTITUTE(SUBSTITUTE(SUBSTITUTE(SUBSTITUTE(SUBSTITUTE(UPPER(D29),"Å","A"),"É","E"),"È","E"),"Ê","E"),"Î","I"),"Ï","I"))&gt;0,D29,IF(ISBLANK(D29),T(D29),"ERREUR")))</f>
        <v/>
      </c>
      <c r="N29" s="38" t="str">
        <f>IF(COUNTIF($V$4:$V$6,E29)&gt;0,E29,IF(ISBLANK(E29),IF(ISBLANK(E30),T(E29),"ERREUR"),"ERREUR"))</f>
        <v/>
      </c>
      <c r="O29" s="38" t="str">
        <f>IF(COUNTIF($W$4:$W$5,F29)&gt;0,F29,IF(ISBLANK(F29),IF(ISBLANK(F30),T(F29),"ERREUR"),"ERREUR"))</f>
        <v/>
      </c>
      <c r="P29" s="38" t="str">
        <f>IF(COUNTIF($X$4:$X$8,G29)&gt;0,G29,IF(ISBLANK(G29),IF(ISBLANK(G30),T(G29),"ERREUR"),"ERREUR"))</f>
        <v/>
      </c>
      <c r="Q29" s="38" t="str">
        <f>IF(ISNUMBER(H29),IF(INT(H29)=H29,H29,"ERREUR"),IF(ISBLANK(H29),IF(ISBLANK(H30),T(H29),"ERREUR"),"ERREUR"))</f>
        <v/>
      </c>
      <c r="R29" s="38"/>
      <c r="S29" s="1" t="s">
        <v>98</v>
      </c>
      <c r="T29" s="39" t="s">
        <v>99</v>
      </c>
      <c r="U29" s="38" t="str">
        <f>SUBSTITUTE(SUBSTITUTE(SUBSTITUTE(SUBSTITUTE(SUBSTITUTE(SUBSTITUTE(SUBSTITUTE(SUBSTITUTE(UPPER(S29),"Å","A"),"É","E"),"È","E"),"Ê","E"),"Ë","E"),"Î","I"),"Ï","I"),"Ô","O")</f>
        <v>BENIN</v>
      </c>
      <c r="V29" s="38"/>
      <c r="W29" s="38"/>
      <c r="X29" s="53"/>
      <c r="Y29" s="42"/>
      <c r="Z29" s="42"/>
      <c r="AA29" s="42"/>
    </row>
    <row r="30" ht="13.75" customHeight="1">
      <c r="A30" s="14"/>
      <c r="B30" s="50"/>
      <c r="C30" s="43"/>
      <c r="D30" s="43"/>
      <c r="E30" s="44"/>
      <c r="F30" s="44"/>
      <c r="G30" s="44"/>
      <c r="H30" s="45"/>
      <c r="I30" s="51"/>
      <c r="J30" s="47" t="str">
        <f>IF(OR(K30="ERREUR",L30="ERREUR",M30="ERREUR",N30="ERREUR",O30="ERREUR",P30="ERREUR",Q30="ERREUR"),"ERREUR",IF(AND(K30="",L30="",M30="",N30="",O30="",P30="",Q30=""),"ligne vide",IF(OR(K30="",L30="",M30="",N30="",O30="",P30="",Q30=""),"ligne incomplète","Valide")))</f>
        <v xml:space="preserve">ligne vide</v>
      </c>
      <c r="K30" s="48" t="str">
        <f>IF(ISBLANK(B30),IF(ISBLANK(B31),T(B30),"ERREUR"),IF(ISNUMBER(B30),_xlfn.NUMBERVALUE(B30),IF(ISTEXT(B30),VALUE(B30),"ERREUR")))</f>
        <v/>
      </c>
      <c r="L30" s="38" t="str">
        <f>IF(COUNTIF($R$4:$R$6,C30)&gt;0,C30,IF(ISBLANK(C30),IF(ISBLANK(D30),T(C30),"ERREUR"),"ERREUR"))</f>
        <v/>
      </c>
      <c r="M30" s="49" t="str">
        <f>IF(ISBLANK(D30),IF(ISBLANK(D31),T(D30),"ERREUR"),IF(COUNTIF($T$4:$T$240,SUBSTITUTE(SUBSTITUTE(SUBSTITUTE(SUBSTITUTE(SUBSTITUTE(SUBSTITUTE(UPPER(D30),"Å","A"),"É","E"),"È","E"),"Ê","E"),"Î","I"),"Ï","I"))&gt;0,D30,IF(ISBLANK(D30),T(D30),"ERREUR")))</f>
        <v/>
      </c>
      <c r="N30" s="38" t="str">
        <f>IF(COUNTIF($V$4:$V$6,E30)&gt;0,E30,IF(ISBLANK(E30),IF(ISBLANK(E31),T(E30),"ERREUR"),"ERREUR"))</f>
        <v/>
      </c>
      <c r="O30" s="38" t="str">
        <f>IF(COUNTIF($W$4:$W$5,F30)&gt;0,F30,IF(ISBLANK(F30),IF(ISBLANK(F31),T(F30),"ERREUR"),"ERREUR"))</f>
        <v/>
      </c>
      <c r="P30" s="38" t="str">
        <f>IF(COUNTIF($X$4:$X$8,G30)&gt;0,G30,IF(ISBLANK(G30),IF(ISBLANK(G31),T(G30),"ERREUR"),"ERREUR"))</f>
        <v/>
      </c>
      <c r="Q30" s="38" t="str">
        <f>IF(ISNUMBER(H30),IF(INT(H30)=H30,H30,"ERREUR"),IF(ISBLANK(H30),IF(ISBLANK(H31),T(H30),"ERREUR"),"ERREUR"))</f>
        <v/>
      </c>
      <c r="R30" s="38"/>
      <c r="S30" s="1" t="s">
        <v>100</v>
      </c>
      <c r="T30" s="39" t="s">
        <v>101</v>
      </c>
      <c r="U30" s="38" t="str">
        <f>SUBSTITUTE(SUBSTITUTE(SUBSTITUTE(SUBSTITUTE(SUBSTITUTE(SUBSTITUTE(SUBSTITUTE(SUBSTITUTE(UPPER(S30),"Å","A"),"É","E"),"È","E"),"Ê","E"),"Ë","E"),"Î","I"),"Ï","I"),"Ô","O")</f>
        <v>BERMUDES</v>
      </c>
      <c r="V30" s="38"/>
      <c r="W30" s="38"/>
      <c r="X30" s="53"/>
      <c r="Y30" s="42"/>
      <c r="Z30" s="42"/>
      <c r="AA30" s="42"/>
    </row>
    <row r="31" ht="13.75" customHeight="1">
      <c r="A31" s="14"/>
      <c r="B31" s="50"/>
      <c r="C31" s="43"/>
      <c r="D31" s="43"/>
      <c r="E31" s="44"/>
      <c r="F31" s="44"/>
      <c r="G31" s="44"/>
      <c r="H31" s="45"/>
      <c r="I31" s="51"/>
      <c r="J31" s="47" t="str">
        <f>IF(OR(K31="ERREUR",L31="ERREUR",M31="ERREUR",N31="ERREUR",O31="ERREUR",P31="ERREUR",Q31="ERREUR"),"ERREUR",IF(AND(K31="",L31="",M31="",N31="",O31="",P31="",Q31=""),"ligne vide",IF(OR(K31="",L31="",M31="",N31="",O31="",P31="",Q31=""),"ligne incomplète","Valide")))</f>
        <v xml:space="preserve">ligne vide</v>
      </c>
      <c r="K31" s="48" t="str">
        <f>IF(ISBLANK(B31),IF(ISBLANK(B32),T(B31),"ERREUR"),IF(ISNUMBER(B31),_xlfn.NUMBERVALUE(B31),IF(ISTEXT(B31),VALUE(B31),"ERREUR")))</f>
        <v/>
      </c>
      <c r="L31" s="38" t="str">
        <f>IF(COUNTIF($R$4:$R$6,C31)&gt;0,C31,IF(ISBLANK(C31),IF(ISBLANK(D31),T(C31),"ERREUR"),"ERREUR"))</f>
        <v/>
      </c>
      <c r="M31" s="49" t="str">
        <f>IF(ISBLANK(D31),IF(ISBLANK(D32),T(D31),"ERREUR"),IF(COUNTIF($T$4:$T$240,SUBSTITUTE(SUBSTITUTE(SUBSTITUTE(SUBSTITUTE(SUBSTITUTE(SUBSTITUTE(UPPER(D31),"Å","A"),"É","E"),"È","E"),"Ê","E"),"Î","I"),"Ï","I"))&gt;0,D31,IF(ISBLANK(D31),T(D31),"ERREUR")))</f>
        <v/>
      </c>
      <c r="N31" s="38" t="str">
        <f>IF(COUNTIF($V$4:$V$6,E31)&gt;0,E31,IF(ISBLANK(E31),IF(ISBLANK(E32),T(E31),"ERREUR"),"ERREUR"))</f>
        <v/>
      </c>
      <c r="O31" s="38" t="str">
        <f>IF(COUNTIF($W$4:$W$5,F31)&gt;0,F31,IF(ISBLANK(F31),IF(ISBLANK(F32),T(F31),"ERREUR"),"ERREUR"))</f>
        <v/>
      </c>
      <c r="P31" s="38" t="str">
        <f>IF(COUNTIF($X$4:$X$8,G31)&gt;0,G31,IF(ISBLANK(G31),IF(ISBLANK(G32),T(G31),"ERREUR"),"ERREUR"))</f>
        <v/>
      </c>
      <c r="Q31" s="38" t="str">
        <f>IF(ISNUMBER(H31),IF(INT(H31)=H31,H31,"ERREUR"),IF(ISBLANK(H31),IF(ISBLANK(H32),T(H31),"ERREUR"),"ERREUR"))</f>
        <v/>
      </c>
      <c r="R31" s="38"/>
      <c r="S31" s="1" t="s">
        <v>102</v>
      </c>
      <c r="T31" s="39" t="s">
        <v>103</v>
      </c>
      <c r="U31" s="38" t="str">
        <f>SUBSTITUTE(SUBSTITUTE(SUBSTITUTE(SUBSTITUTE(SUBSTITUTE(SUBSTITUTE(SUBSTITUTE(SUBSTITUTE(UPPER(S31),"Å","A"),"É","E"),"È","E"),"Ê","E"),"Ë","E"),"Î","I"),"Ï","I"),"Ô","O")</f>
        <v>BHOUTAN</v>
      </c>
      <c r="V31" s="38"/>
      <c r="W31" s="38"/>
      <c r="X31" s="53"/>
      <c r="Y31" s="42"/>
      <c r="Z31" s="42"/>
      <c r="AA31" s="42"/>
    </row>
    <row r="32" ht="13.75" customHeight="1">
      <c r="A32" s="14"/>
      <c r="B32" s="50"/>
      <c r="C32" s="43"/>
      <c r="D32" s="43"/>
      <c r="E32" s="44"/>
      <c r="F32" s="44"/>
      <c r="G32" s="44"/>
      <c r="H32" s="45"/>
      <c r="I32" s="51"/>
      <c r="J32" s="47" t="str">
        <f>IF(OR(K32="ERREUR",L32="ERREUR",M32="ERREUR",N32="ERREUR",O32="ERREUR",P32="ERREUR",Q32="ERREUR"),"ERREUR",IF(AND(K32="",L32="",M32="",N32="",O32="",P32="",Q32=""),"ligne vide",IF(OR(K32="",L32="",M32="",N32="",O32="",P32="",Q32=""),"ligne incomplète","Valide")))</f>
        <v xml:space="preserve">ligne vide</v>
      </c>
      <c r="K32" s="48" t="str">
        <f>IF(ISBLANK(B32),IF(ISBLANK(B33),T(B32),"ERREUR"),IF(ISNUMBER(B32),_xlfn.NUMBERVALUE(B32),IF(ISTEXT(B32),VALUE(B32),"ERREUR")))</f>
        <v/>
      </c>
      <c r="L32" s="38" t="str">
        <f>IF(COUNTIF($R$4:$R$6,C32)&gt;0,C32,IF(ISBLANK(C32),IF(ISBLANK(D32),T(C32),"ERREUR"),"ERREUR"))</f>
        <v/>
      </c>
      <c r="M32" s="49" t="str">
        <f>IF(ISBLANK(D32),IF(ISBLANK(D33),T(D32),"ERREUR"),IF(COUNTIF($T$4:$T$240,SUBSTITUTE(SUBSTITUTE(SUBSTITUTE(SUBSTITUTE(SUBSTITUTE(SUBSTITUTE(UPPER(D32),"Å","A"),"É","E"),"È","E"),"Ê","E"),"Î","I"),"Ï","I"))&gt;0,D32,IF(ISBLANK(D32),T(D32),"ERREUR")))</f>
        <v/>
      </c>
      <c r="N32" s="38" t="str">
        <f>IF(COUNTIF($V$4:$V$6,E32)&gt;0,E32,IF(ISBLANK(E32),IF(ISBLANK(E33),T(E32),"ERREUR"),"ERREUR"))</f>
        <v/>
      </c>
      <c r="O32" s="38" t="str">
        <f>IF(COUNTIF($W$4:$W$5,F32)&gt;0,F32,IF(ISBLANK(F32),IF(ISBLANK(F33),T(F32),"ERREUR"),"ERREUR"))</f>
        <v/>
      </c>
      <c r="P32" s="38" t="str">
        <f>IF(COUNTIF($X$4:$X$8,G32)&gt;0,G32,IF(ISBLANK(G32),IF(ISBLANK(G33),T(G32),"ERREUR"),"ERREUR"))</f>
        <v/>
      </c>
      <c r="Q32" s="38" t="str">
        <f>IF(ISNUMBER(H32),IF(INT(H32)=H32,H32,"ERREUR"),IF(ISBLANK(H32),IF(ISBLANK(H33),T(H32),"ERREUR"),"ERREUR"))</f>
        <v/>
      </c>
      <c r="R32" s="38"/>
      <c r="S32" s="1" t="s">
        <v>104</v>
      </c>
      <c r="T32" s="39" t="s">
        <v>105</v>
      </c>
      <c r="U32" s="38" t="str">
        <f>SUBSTITUTE(SUBSTITUTE(SUBSTITUTE(SUBSTITUTE(SUBSTITUTE(SUBSTITUTE(SUBSTITUTE(SUBSTITUTE(UPPER(S32),"Å","A"),"É","E"),"È","E"),"Ê","E"),"Ë","E"),"Î","I"),"Ï","I"),"Ô","O")</f>
        <v>BIRMANIE</v>
      </c>
      <c r="V32" s="38"/>
      <c r="W32" s="38"/>
      <c r="X32" s="53"/>
      <c r="Y32" s="42"/>
      <c r="Z32" s="42"/>
      <c r="AA32" s="42"/>
    </row>
    <row r="33" ht="13.75" customHeight="1">
      <c r="A33" s="14"/>
      <c r="B33" s="50"/>
      <c r="C33" s="43"/>
      <c r="D33" s="43"/>
      <c r="E33" s="44"/>
      <c r="F33" s="44"/>
      <c r="G33" s="44"/>
      <c r="H33" s="45"/>
      <c r="I33" s="51"/>
      <c r="J33" s="47" t="str">
        <f>IF(OR(K33="ERREUR",L33="ERREUR",M33="ERREUR",N33="ERREUR",O33="ERREUR",P33="ERREUR",Q33="ERREUR"),"ERREUR",IF(AND(K33="",L33="",M33="",N33="",O33="",P33="",Q33=""),"ligne vide",IF(OR(K33="",L33="",M33="",N33="",O33="",P33="",Q33=""),"ligne incomplète","Valide")))</f>
        <v xml:space="preserve">ligne vide</v>
      </c>
      <c r="K33" s="48" t="str">
        <f>IF(ISBLANK(B33),IF(ISBLANK(B34),T(B33),"ERREUR"),IF(ISNUMBER(B33),_xlfn.NUMBERVALUE(B33),IF(ISTEXT(B33),VALUE(B33),"ERREUR")))</f>
        <v/>
      </c>
      <c r="L33" s="38" t="str">
        <f>IF(COUNTIF($R$4:$R$6,C33)&gt;0,C33,IF(ISBLANK(C33),IF(ISBLANK(D33),T(C33),"ERREUR"),"ERREUR"))</f>
        <v/>
      </c>
      <c r="M33" s="49" t="str">
        <f>IF(ISBLANK(D33),IF(ISBLANK(D34),T(D33),"ERREUR"),IF(COUNTIF($T$4:$T$240,SUBSTITUTE(SUBSTITUTE(SUBSTITUTE(SUBSTITUTE(SUBSTITUTE(SUBSTITUTE(UPPER(D33),"Å","A"),"É","E"),"È","E"),"Ê","E"),"Î","I"),"Ï","I"))&gt;0,D33,IF(ISBLANK(D33),T(D33),"ERREUR")))</f>
        <v/>
      </c>
      <c r="N33" s="38" t="str">
        <f>IF(COUNTIF($V$4:$V$6,E33)&gt;0,E33,IF(ISBLANK(E33),IF(ISBLANK(E34),T(E33),"ERREUR"),"ERREUR"))</f>
        <v/>
      </c>
      <c r="O33" s="38" t="str">
        <f>IF(COUNTIF($W$4:$W$5,F33)&gt;0,F33,IF(ISBLANK(F33),IF(ISBLANK(F34),T(F33),"ERREUR"),"ERREUR"))</f>
        <v/>
      </c>
      <c r="P33" s="38" t="str">
        <f>IF(COUNTIF($X$4:$X$8,G33)&gt;0,G33,IF(ISBLANK(G33),IF(ISBLANK(G34),T(G33),"ERREUR"),"ERREUR"))</f>
        <v/>
      </c>
      <c r="Q33" s="38" t="str">
        <f>IF(ISNUMBER(H33),IF(INT(H33)=H33,H33,"ERREUR"),IF(ISBLANK(H33),IF(ISBLANK(H34),T(H33),"ERREUR"),"ERREUR"))</f>
        <v/>
      </c>
      <c r="R33" s="38"/>
      <c r="S33" s="1" t="s">
        <v>106</v>
      </c>
      <c r="T33" s="39" t="s">
        <v>107</v>
      </c>
      <c r="U33" s="38" t="str">
        <f>SUBSTITUTE(SUBSTITUTE(SUBSTITUTE(SUBSTITUTE(SUBSTITUTE(SUBSTITUTE(SUBSTITUTE(SUBSTITUTE(UPPER(S33),"Å","A"),"É","E"),"È","E"),"Ê","E"),"Ë","E"),"Î","I"),"Ï","I"),"Ô","O")</f>
        <v>BOLIVIE</v>
      </c>
      <c r="V33" s="38"/>
      <c r="W33" s="38"/>
      <c r="X33" s="53"/>
      <c r="Y33" s="42"/>
      <c r="Z33" s="42"/>
      <c r="AA33" s="42"/>
    </row>
    <row r="34" ht="13.75" customHeight="1">
      <c r="A34" s="14"/>
      <c r="B34" s="50"/>
      <c r="C34" s="43"/>
      <c r="D34" s="43"/>
      <c r="E34" s="44"/>
      <c r="F34" s="44"/>
      <c r="G34" s="44"/>
      <c r="H34" s="45"/>
      <c r="I34" s="51"/>
      <c r="J34" s="47" t="str">
        <f>IF(OR(K34="ERREUR",L34="ERREUR",M34="ERREUR",N34="ERREUR",O34="ERREUR",P34="ERREUR",Q34="ERREUR"),"ERREUR",IF(AND(K34="",L34="",M34="",N34="",O34="",P34="",Q34=""),"ligne vide",IF(OR(K34="",L34="",M34="",N34="",O34="",P34="",Q34=""),"ligne incomplète","Valide")))</f>
        <v xml:space="preserve">ligne vide</v>
      </c>
      <c r="K34" s="48" t="str">
        <f>IF(ISBLANK(B34),IF(ISBLANK(B35),T(B34),"ERREUR"),IF(ISNUMBER(B34),_xlfn.NUMBERVALUE(B34),IF(ISTEXT(B34),VALUE(B34),"ERREUR")))</f>
        <v/>
      </c>
      <c r="L34" s="38" t="str">
        <f>IF(COUNTIF($R$4:$R$6,C34)&gt;0,C34,IF(ISBLANK(C34),IF(ISBLANK(D34),T(C34),"ERREUR"),"ERREUR"))</f>
        <v/>
      </c>
      <c r="M34" s="49" t="str">
        <f>IF(ISBLANK(D34),IF(ISBLANK(D35),T(D34),"ERREUR"),IF(COUNTIF($T$4:$T$240,SUBSTITUTE(SUBSTITUTE(SUBSTITUTE(SUBSTITUTE(SUBSTITUTE(SUBSTITUTE(UPPER(D34),"Å","A"),"É","E"),"È","E"),"Ê","E"),"Î","I"),"Ï","I"))&gt;0,D34,IF(ISBLANK(D34),T(D34),"ERREUR")))</f>
        <v/>
      </c>
      <c r="N34" s="38" t="str">
        <f>IF(COUNTIF($V$4:$V$6,E34)&gt;0,E34,IF(ISBLANK(E34),IF(ISBLANK(E35),T(E34),"ERREUR"),"ERREUR"))</f>
        <v/>
      </c>
      <c r="O34" s="38" t="str">
        <f>IF(COUNTIF($W$4:$W$5,F34)&gt;0,F34,IF(ISBLANK(F34),IF(ISBLANK(F35),T(F34),"ERREUR"),"ERREUR"))</f>
        <v/>
      </c>
      <c r="P34" s="38" t="str">
        <f>IF(COUNTIF($X$4:$X$8,G34)&gt;0,G34,IF(ISBLANK(G34),IF(ISBLANK(G35),T(G34),"ERREUR"),"ERREUR"))</f>
        <v/>
      </c>
      <c r="Q34" s="38" t="str">
        <f>IF(ISNUMBER(H34),IF(INT(H34)=H34,H34,"ERREUR"),IF(ISBLANK(H34),IF(ISBLANK(H35),T(H34),"ERREUR"),"ERREUR"))</f>
        <v/>
      </c>
      <c r="R34" s="38"/>
      <c r="S34" s="1" t="s">
        <v>108</v>
      </c>
      <c r="T34" s="39" t="s">
        <v>109</v>
      </c>
      <c r="U34" s="38" t="str">
        <f>SUBSTITUTE(SUBSTITUTE(SUBSTITUTE(SUBSTITUTE(SUBSTITUTE(SUBSTITUTE(SUBSTITUTE(SUBSTITUTE(UPPER(S34),"Å","A"),"É","E"),"È","E"),"Ê","E"),"Ë","E"),"Î","I"),"Ï","I"),"Ô","O")</f>
        <v xml:space="preserve">BONAIRE, SAINT-EUSTACHE ET SABA</v>
      </c>
      <c r="V34" s="38"/>
      <c r="W34" s="38"/>
      <c r="X34" s="53"/>
      <c r="Y34" s="42"/>
      <c r="Z34" s="42"/>
      <c r="AA34" s="42"/>
    </row>
    <row r="35" ht="13.75" customHeight="1">
      <c r="A35" s="14"/>
      <c r="B35" s="50"/>
      <c r="C35" s="43"/>
      <c r="D35" s="43"/>
      <c r="E35" s="44"/>
      <c r="F35" s="44"/>
      <c r="G35" s="44"/>
      <c r="H35" s="45"/>
      <c r="I35" s="51"/>
      <c r="J35" s="47" t="str">
        <f>IF(OR(K35="ERREUR",L35="ERREUR",M35="ERREUR",N35="ERREUR",O35="ERREUR",P35="ERREUR",Q35="ERREUR"),"ERREUR",IF(AND(K35="",L35="",M35="",N35="",O35="",P35="",Q35=""),"ligne vide",IF(OR(K35="",L35="",M35="",N35="",O35="",P35="",Q35=""),"ligne incomplète","Valide")))</f>
        <v xml:space="preserve">ligne vide</v>
      </c>
      <c r="K35" s="48" t="str">
        <f>IF(ISBLANK(B35),IF(ISBLANK(B36),T(B35),"ERREUR"),IF(ISNUMBER(B35),_xlfn.NUMBERVALUE(B35),IF(ISTEXT(B35),VALUE(B35),"ERREUR")))</f>
        <v/>
      </c>
      <c r="L35" s="38" t="str">
        <f>IF(COUNTIF($R$4:$R$6,C35)&gt;0,C35,IF(ISBLANK(C35),IF(ISBLANK(D35),T(C35),"ERREUR"),"ERREUR"))</f>
        <v/>
      </c>
      <c r="M35" s="49" t="str">
        <f>IF(ISBLANK(D35),IF(ISBLANK(D36),T(D35),"ERREUR"),IF(COUNTIF($T$4:$T$240,SUBSTITUTE(SUBSTITUTE(SUBSTITUTE(SUBSTITUTE(SUBSTITUTE(SUBSTITUTE(UPPER(D35),"Å","A"),"É","E"),"È","E"),"Ê","E"),"Î","I"),"Ï","I"))&gt;0,D35,IF(ISBLANK(D35),T(D35),"ERREUR")))</f>
        <v/>
      </c>
      <c r="N35" s="38" t="str">
        <f>IF(COUNTIF($V$4:$V$6,E35)&gt;0,E35,IF(ISBLANK(E35),IF(ISBLANK(E36),T(E35),"ERREUR"),"ERREUR"))</f>
        <v/>
      </c>
      <c r="O35" s="38" t="str">
        <f>IF(COUNTIF($W$4:$W$5,F35)&gt;0,F35,IF(ISBLANK(F35),IF(ISBLANK(F36),T(F35),"ERREUR"),"ERREUR"))</f>
        <v/>
      </c>
      <c r="P35" s="38" t="str">
        <f>IF(COUNTIF($X$4:$X$8,G35)&gt;0,G35,IF(ISBLANK(G35),IF(ISBLANK(G36),T(G35),"ERREUR"),"ERREUR"))</f>
        <v/>
      </c>
      <c r="Q35" s="38" t="str">
        <f>IF(ISNUMBER(H35),IF(INT(H35)=H35,H35,"ERREUR"),IF(ISBLANK(H35),IF(ISBLANK(H36),T(H35),"ERREUR"),"ERREUR"))</f>
        <v/>
      </c>
      <c r="R35" s="38"/>
      <c r="S35" s="1" t="s">
        <v>110</v>
      </c>
      <c r="T35" s="39" t="s">
        <v>111</v>
      </c>
      <c r="U35" s="38" t="str">
        <f>SUBSTITUTE(SUBSTITUTE(SUBSTITUTE(SUBSTITUTE(SUBSTITUTE(SUBSTITUTE(SUBSTITUTE(SUBSTITUTE(UPPER(S35),"Å","A"),"É","E"),"È","E"),"Ê","E"),"Ë","E"),"Î","I"),"Ï","I"),"Ô","O")</f>
        <v>BOSNIE-HERZEGOVINE</v>
      </c>
      <c r="V35" s="38"/>
      <c r="W35" s="38"/>
      <c r="X35" s="53"/>
      <c r="Y35" s="42"/>
      <c r="Z35" s="42"/>
      <c r="AA35" s="42"/>
    </row>
    <row r="36" ht="13.75" customHeight="1">
      <c r="A36" s="14"/>
      <c r="B36" s="50"/>
      <c r="C36" s="43"/>
      <c r="D36" s="43"/>
      <c r="E36" s="44"/>
      <c r="F36" s="44"/>
      <c r="G36" s="44"/>
      <c r="H36" s="45"/>
      <c r="I36" s="51"/>
      <c r="J36" s="47" t="str">
        <f>IF(OR(K36="ERREUR",L36="ERREUR",M36="ERREUR",N36="ERREUR",O36="ERREUR",P36="ERREUR",Q36="ERREUR"),"ERREUR",IF(AND(K36="",L36="",M36="",N36="",O36="",P36="",Q36=""),"ligne vide",IF(OR(K36="",L36="",M36="",N36="",O36="",P36="",Q36=""),"ligne incomplète","Valide")))</f>
        <v xml:space="preserve">ligne vide</v>
      </c>
      <c r="K36" s="48" t="str">
        <f>IF(ISBLANK(B36),IF(ISBLANK(B37),T(B36),"ERREUR"),IF(ISNUMBER(B36),_xlfn.NUMBERVALUE(B36),IF(ISTEXT(B36),VALUE(B36),"ERREUR")))</f>
        <v/>
      </c>
      <c r="L36" s="38" t="str">
        <f>IF(COUNTIF($R$4:$R$6,C36)&gt;0,C36,IF(ISBLANK(C36),IF(ISBLANK(D36),T(C36),"ERREUR"),"ERREUR"))</f>
        <v/>
      </c>
      <c r="M36" s="49" t="str">
        <f>IF(ISBLANK(D36),IF(ISBLANK(D37),T(D36),"ERREUR"),IF(COUNTIF($T$4:$T$240,SUBSTITUTE(SUBSTITUTE(SUBSTITUTE(SUBSTITUTE(SUBSTITUTE(SUBSTITUTE(UPPER(D36),"Å","A"),"É","E"),"È","E"),"Ê","E"),"Î","I"),"Ï","I"))&gt;0,D36,IF(ISBLANK(D36),T(D36),"ERREUR")))</f>
        <v/>
      </c>
      <c r="N36" s="38" t="str">
        <f>IF(COUNTIF($V$4:$V$6,E36)&gt;0,E36,IF(ISBLANK(E36),IF(ISBLANK(E37),T(E36),"ERREUR"),"ERREUR"))</f>
        <v/>
      </c>
      <c r="O36" s="38" t="str">
        <f>IF(COUNTIF($W$4:$W$5,F36)&gt;0,F36,IF(ISBLANK(F36),IF(ISBLANK(F37),T(F36),"ERREUR"),"ERREUR"))</f>
        <v/>
      </c>
      <c r="P36" s="38" t="str">
        <f>IF(COUNTIF($X$4:$X$8,G36)&gt;0,G36,IF(ISBLANK(G36),IF(ISBLANK(G37),T(G36),"ERREUR"),"ERREUR"))</f>
        <v/>
      </c>
      <c r="Q36" s="38" t="str">
        <f>IF(ISNUMBER(H36),IF(INT(H36)=H36,H36,"ERREUR"),IF(ISBLANK(H36),IF(ISBLANK(H37),T(H36),"ERREUR"),"ERREUR"))</f>
        <v/>
      </c>
      <c r="R36" s="38"/>
      <c r="S36" s="1" t="s">
        <v>112</v>
      </c>
      <c r="T36" s="39" t="s">
        <v>113</v>
      </c>
      <c r="U36" s="38" t="str">
        <f>SUBSTITUTE(SUBSTITUTE(SUBSTITUTE(SUBSTITUTE(SUBSTITUTE(SUBSTITUTE(SUBSTITUTE(SUBSTITUTE(UPPER(S36),"Å","A"),"É","E"),"È","E"),"Ê","E"),"Ë","E"),"Î","I"),"Ï","I"),"Ô","O")</f>
        <v>BOTSWANA</v>
      </c>
      <c r="V36" s="38"/>
      <c r="W36" s="38"/>
      <c r="X36" s="53"/>
      <c r="Y36" s="42"/>
      <c r="Z36" s="42"/>
      <c r="AA36" s="42"/>
    </row>
    <row r="37" ht="13.75" customHeight="1">
      <c r="A37" s="14"/>
      <c r="B37" s="50"/>
      <c r="C37" s="43"/>
      <c r="D37" s="43"/>
      <c r="E37" s="44"/>
      <c r="F37" s="44"/>
      <c r="G37" s="44"/>
      <c r="H37" s="45"/>
      <c r="I37" s="51"/>
      <c r="J37" s="47" t="str">
        <f>IF(OR(K37="ERREUR",L37="ERREUR",M37="ERREUR",N37="ERREUR",O37="ERREUR",P37="ERREUR",Q37="ERREUR"),"ERREUR",IF(AND(K37="",L37="",M37="",N37="",O37="",P37="",Q37=""),"ligne vide",IF(OR(K37="",L37="",M37="",N37="",O37="",P37="",Q37=""),"ligne incomplète","Valide")))</f>
        <v xml:space="preserve">ligne vide</v>
      </c>
      <c r="K37" s="48" t="str">
        <f>IF(ISBLANK(B37),IF(ISBLANK(B38),T(B37),"ERREUR"),IF(ISNUMBER(B37),_xlfn.NUMBERVALUE(B37),IF(ISTEXT(B37),VALUE(B37),"ERREUR")))</f>
        <v/>
      </c>
      <c r="L37" s="38" t="str">
        <f>IF(COUNTIF($R$4:$R$6,C37)&gt;0,C37,IF(ISBLANK(C37),IF(ISBLANK(D37),T(C37),"ERREUR"),"ERREUR"))</f>
        <v/>
      </c>
      <c r="M37" s="49" t="str">
        <f>IF(ISBLANK(D37),IF(ISBLANK(D38),T(D37),"ERREUR"),IF(COUNTIF($T$4:$T$240,SUBSTITUTE(SUBSTITUTE(SUBSTITUTE(SUBSTITUTE(SUBSTITUTE(SUBSTITUTE(UPPER(D37),"Å","A"),"É","E"),"È","E"),"Ê","E"),"Î","I"),"Ï","I"))&gt;0,D37,IF(ISBLANK(D37),T(D37),"ERREUR")))</f>
        <v/>
      </c>
      <c r="N37" s="38" t="str">
        <f>IF(COUNTIF($V$4:$V$6,E37)&gt;0,E37,IF(ISBLANK(E37),IF(ISBLANK(E38),T(E37),"ERREUR"),"ERREUR"))</f>
        <v/>
      </c>
      <c r="O37" s="38" t="str">
        <f>IF(COUNTIF($W$4:$W$5,F37)&gt;0,F37,IF(ISBLANK(F37),IF(ISBLANK(F38),T(F37),"ERREUR"),"ERREUR"))</f>
        <v/>
      </c>
      <c r="P37" s="38" t="str">
        <f>IF(COUNTIF($X$4:$X$8,G37)&gt;0,G37,IF(ISBLANK(G37),IF(ISBLANK(G38),T(G37),"ERREUR"),"ERREUR"))</f>
        <v/>
      </c>
      <c r="Q37" s="38" t="str">
        <f>IF(ISNUMBER(H37),IF(INT(H37)=H37,H37,"ERREUR"),IF(ISBLANK(H37),IF(ISBLANK(H38),T(H37),"ERREUR"),"ERREUR"))</f>
        <v/>
      </c>
      <c r="R37" s="38"/>
      <c r="S37" s="1" t="s">
        <v>114</v>
      </c>
      <c r="T37" s="39" t="s">
        <v>115</v>
      </c>
      <c r="U37" s="38" t="str">
        <f>SUBSTITUTE(SUBSTITUTE(SUBSTITUTE(SUBSTITUTE(SUBSTITUTE(SUBSTITUTE(SUBSTITUTE(SUBSTITUTE(UPPER(S37),"Å","A"),"É","E"),"È","E"),"Ê","E"),"Ë","E"),"Î","I"),"Ï","I"),"Ô","O")</f>
        <v>BRESIL</v>
      </c>
      <c r="V37" s="38"/>
      <c r="W37" s="38"/>
      <c r="X37" s="53"/>
      <c r="Y37" s="42"/>
      <c r="Z37" s="42"/>
      <c r="AA37" s="42"/>
    </row>
    <row r="38" ht="13.75" customHeight="1">
      <c r="A38" s="14"/>
      <c r="B38" s="50"/>
      <c r="C38" s="43"/>
      <c r="D38" s="43"/>
      <c r="E38" s="44"/>
      <c r="F38" s="44"/>
      <c r="G38" s="44"/>
      <c r="H38" s="45"/>
      <c r="I38" s="51"/>
      <c r="J38" s="47" t="str">
        <f>IF(OR(K38="ERREUR",L38="ERREUR",M38="ERREUR",N38="ERREUR",O38="ERREUR",P38="ERREUR",Q38="ERREUR"),"ERREUR",IF(AND(K38="",L38="",M38="",N38="",O38="",P38="",Q38=""),"ligne vide",IF(OR(K38="",L38="",M38="",N38="",O38="",P38="",Q38=""),"ligne incomplète","Valide")))</f>
        <v xml:space="preserve">ligne vide</v>
      </c>
      <c r="K38" s="48" t="str">
        <f>IF(ISBLANK(B38),IF(ISBLANK(B39),T(B38),"ERREUR"),IF(ISNUMBER(B38),_xlfn.NUMBERVALUE(B38),IF(ISTEXT(B38),VALUE(B38),"ERREUR")))</f>
        <v/>
      </c>
      <c r="L38" s="38" t="str">
        <f>IF(COUNTIF($R$4:$R$6,C38)&gt;0,C38,IF(ISBLANK(C38),IF(ISBLANK(D38),T(C38),"ERREUR"),"ERREUR"))</f>
        <v/>
      </c>
      <c r="M38" s="49" t="str">
        <f>IF(ISBLANK(D38),IF(ISBLANK(D39),T(D38),"ERREUR"),IF(COUNTIF($T$4:$T$240,SUBSTITUTE(SUBSTITUTE(SUBSTITUTE(SUBSTITUTE(SUBSTITUTE(SUBSTITUTE(UPPER(D38),"Å","A"),"É","E"),"È","E"),"Ê","E"),"Î","I"),"Ï","I"))&gt;0,D38,IF(ISBLANK(D38),T(D38),"ERREUR")))</f>
        <v/>
      </c>
      <c r="N38" s="38" t="str">
        <f>IF(COUNTIF($V$4:$V$6,E38)&gt;0,E38,IF(ISBLANK(E38),IF(ISBLANK(E39),T(E38),"ERREUR"),"ERREUR"))</f>
        <v/>
      </c>
      <c r="O38" s="38" t="str">
        <f>IF(COUNTIF($W$4:$W$5,F38)&gt;0,F38,IF(ISBLANK(F38),IF(ISBLANK(F39),T(F38),"ERREUR"),"ERREUR"))</f>
        <v/>
      </c>
      <c r="P38" s="38" t="str">
        <f>IF(COUNTIF($X$4:$X$8,G38)&gt;0,G38,IF(ISBLANK(G38),IF(ISBLANK(G39),T(G38),"ERREUR"),"ERREUR"))</f>
        <v/>
      </c>
      <c r="Q38" s="38" t="str">
        <f>IF(ISNUMBER(H38),IF(INT(H38)=H38,H38,"ERREUR"),IF(ISBLANK(H38),IF(ISBLANK(H39),T(H38),"ERREUR"),"ERREUR"))</f>
        <v/>
      </c>
      <c r="R38" s="38"/>
      <c r="S38" s="1" t="s">
        <v>116</v>
      </c>
      <c r="T38" s="39" t="s">
        <v>117</v>
      </c>
      <c r="U38" s="38" t="str">
        <f>SUBSTITUTE(SUBSTITUTE(SUBSTITUTE(SUBSTITUTE(SUBSTITUTE(SUBSTITUTE(SUBSTITUTE(SUBSTITUTE(UPPER(S38),"Å","A"),"É","E"),"È","E"),"Ê","E"),"Ë","E"),"Î","I"),"Ï","I"),"Ô","O")</f>
        <v xml:space="preserve">BRUNEI DARUSSALAM</v>
      </c>
      <c r="V38" s="38"/>
      <c r="W38" s="38"/>
      <c r="X38" s="53"/>
      <c r="Y38" s="42"/>
      <c r="Z38" s="42"/>
      <c r="AA38" s="42"/>
    </row>
    <row r="39" ht="13.75" customHeight="1">
      <c r="A39" s="14"/>
      <c r="B39" s="50"/>
      <c r="C39" s="43"/>
      <c r="D39" s="43"/>
      <c r="E39" s="44"/>
      <c r="F39" s="44"/>
      <c r="G39" s="44"/>
      <c r="H39" s="45"/>
      <c r="I39" s="54"/>
      <c r="J39" s="47" t="str">
        <f>IF(OR(K39="ERREUR",L39="ERREUR",M39="ERREUR",N39="ERREUR",O39="ERREUR",P39="ERREUR",Q39="ERREUR"),"ERREUR",IF(AND(K39="",L39="",M39="",N39="",O39="",P39="",Q39=""),"ligne vide",IF(OR(K39="",L39="",M39="",N39="",O39="",P39="",Q39=""),"ligne incomplète","Valide")))</f>
        <v xml:space="preserve">ligne vide</v>
      </c>
      <c r="K39" s="48" t="str">
        <f>IF(ISBLANK(B39),IF(ISBLANK(B40),T(B39),"ERREUR"),IF(ISNUMBER(B39),_xlfn.NUMBERVALUE(B39),IF(ISTEXT(B39),VALUE(B39),"ERREUR")))</f>
        <v/>
      </c>
      <c r="L39" s="38" t="str">
        <f>IF(COUNTIF($R$4:$R$6,C39)&gt;0,C39,IF(ISBLANK(C39),IF(ISBLANK(D39),T(C39),"ERREUR"),"ERREUR"))</f>
        <v/>
      </c>
      <c r="M39" s="49" t="str">
        <f>IF(ISBLANK(D39),IF(ISBLANK(D40),T(D39),"ERREUR"),IF(COUNTIF($T$4:$T$240,SUBSTITUTE(SUBSTITUTE(SUBSTITUTE(SUBSTITUTE(SUBSTITUTE(SUBSTITUTE(UPPER(D39),"Å","A"),"É","E"),"È","E"),"Ê","E"),"Î","I"),"Ï","I"))&gt;0,D39,IF(ISBLANK(D39),T(D39),"ERREUR")))</f>
        <v/>
      </c>
      <c r="N39" s="38" t="str">
        <f>IF(COUNTIF($V$4:$V$6,E39)&gt;0,E39,IF(ISBLANK(E39),IF(ISBLANK(E40),T(E39),"ERREUR"),"ERREUR"))</f>
        <v/>
      </c>
      <c r="O39" s="38" t="str">
        <f>IF(COUNTIF($W$4:$W$5,F39)&gt;0,F39,IF(ISBLANK(F39),IF(ISBLANK(F40),T(F39),"ERREUR"),"ERREUR"))</f>
        <v/>
      </c>
      <c r="P39" s="38" t="str">
        <f>IF(COUNTIF($X$4:$X$8,G39)&gt;0,G39,IF(ISBLANK(G39),IF(ISBLANK(G40),T(G39),"ERREUR"),"ERREUR"))</f>
        <v/>
      </c>
      <c r="Q39" s="38" t="str">
        <f>IF(ISNUMBER(H39),IF(INT(H39)=H39,H39,"ERREUR"),IF(ISBLANK(H39),IF(ISBLANK(H40),T(H39),"ERREUR"),"ERREUR"))</f>
        <v/>
      </c>
      <c r="R39" s="38"/>
      <c r="S39" s="1" t="s">
        <v>118</v>
      </c>
      <c r="T39" s="39" t="s">
        <v>119</v>
      </c>
      <c r="U39" s="38" t="str">
        <f>SUBSTITUTE(SUBSTITUTE(SUBSTITUTE(SUBSTITUTE(SUBSTITUTE(SUBSTITUTE(SUBSTITUTE(SUBSTITUTE(UPPER(S39),"Å","A"),"É","E"),"È","E"),"Ê","E"),"Ë","E"),"Î","I"),"Ï","I"),"Ô","O")</f>
        <v>BULGARIE</v>
      </c>
      <c r="V39" s="38"/>
      <c r="W39" s="38"/>
      <c r="X39" s="53"/>
      <c r="Y39" s="42"/>
      <c r="Z39" s="42"/>
      <c r="AA39" s="42"/>
    </row>
    <row r="40" ht="13.75" customHeight="1">
      <c r="A40" s="14"/>
      <c r="B40" s="50"/>
      <c r="C40" s="43"/>
      <c r="D40" s="43"/>
      <c r="E40" s="44"/>
      <c r="F40" s="44"/>
      <c r="G40" s="44"/>
      <c r="H40" s="45"/>
      <c r="I40" s="54"/>
      <c r="J40" s="47" t="str">
        <f>IF(OR(K40="ERREUR",L40="ERREUR",M40="ERREUR",N40="ERREUR",O40="ERREUR",P40="ERREUR",Q40="ERREUR"),"ERREUR",IF(AND(K40="",L40="",M40="",N40="",O40="",P40="",Q40=""),"ligne vide",IF(OR(K40="",L40="",M40="",N40="",O40="",P40="",Q40=""),"ligne incomplète","Valide")))</f>
        <v xml:space="preserve">ligne vide</v>
      </c>
      <c r="K40" s="48" t="str">
        <f>IF(ISBLANK(B40),IF(ISBLANK(B41),T(B40),"ERREUR"),IF(ISNUMBER(B40),_xlfn.NUMBERVALUE(B40),IF(ISTEXT(B40),VALUE(B40),"ERREUR")))</f>
        <v/>
      </c>
      <c r="L40" s="38" t="str">
        <f>IF(COUNTIF($R$4:$R$6,C40)&gt;0,C40,IF(ISBLANK(C40),IF(ISBLANK(D40),T(C40),"ERREUR"),"ERREUR"))</f>
        <v/>
      </c>
      <c r="M40" s="49" t="str">
        <f>IF(ISBLANK(D40),IF(ISBLANK(D41),T(D40),"ERREUR"),IF(COUNTIF($T$4:$T$240,SUBSTITUTE(SUBSTITUTE(SUBSTITUTE(SUBSTITUTE(SUBSTITUTE(SUBSTITUTE(UPPER(D40),"Å","A"),"É","E"),"È","E"),"Ê","E"),"Î","I"),"Ï","I"))&gt;0,D40,IF(ISBLANK(D40),T(D40),"ERREUR")))</f>
        <v/>
      </c>
      <c r="N40" s="38" t="str">
        <f>IF(COUNTIF($V$4:$V$6,E40)&gt;0,E40,IF(ISBLANK(E40),IF(ISBLANK(E41),T(E40),"ERREUR"),"ERREUR"))</f>
        <v/>
      </c>
      <c r="O40" s="38" t="str">
        <f>IF(COUNTIF($W$4:$W$5,F40)&gt;0,F40,IF(ISBLANK(F40),IF(ISBLANK(F41),T(F40),"ERREUR"),"ERREUR"))</f>
        <v/>
      </c>
      <c r="P40" s="38" t="str">
        <f>IF(COUNTIF($X$4:$X$8,G40)&gt;0,G40,IF(ISBLANK(G40),IF(ISBLANK(G41),T(G40),"ERREUR"),"ERREUR"))</f>
        <v/>
      </c>
      <c r="Q40" s="38" t="str">
        <f>IF(ISNUMBER(H40),IF(INT(H40)=H40,H40,"ERREUR"),IF(ISBLANK(H40),IF(ISBLANK(H41),T(H40),"ERREUR"),"ERREUR"))</f>
        <v/>
      </c>
      <c r="R40" s="38"/>
      <c r="S40" s="1" t="s">
        <v>120</v>
      </c>
      <c r="T40" s="39" t="s">
        <v>121</v>
      </c>
      <c r="U40" s="38" t="str">
        <f>SUBSTITUTE(SUBSTITUTE(SUBSTITUTE(SUBSTITUTE(SUBSTITUTE(SUBSTITUTE(SUBSTITUTE(SUBSTITUTE(UPPER(S40),"Å","A"),"É","E"),"È","E"),"Ê","E"),"Ë","E"),"Î","I"),"Ï","I"),"Ô","O")</f>
        <v xml:space="preserve">BURKINA FASO</v>
      </c>
      <c r="V40" s="38"/>
      <c r="W40" s="38"/>
      <c r="X40" s="53"/>
      <c r="Y40" s="42"/>
      <c r="Z40" s="42"/>
      <c r="AA40" s="42"/>
    </row>
    <row r="41" ht="13.75" customHeight="1">
      <c r="A41" s="14"/>
      <c r="B41" s="50"/>
      <c r="C41" s="43"/>
      <c r="D41" s="43"/>
      <c r="E41" s="44"/>
      <c r="F41" s="44"/>
      <c r="G41" s="44"/>
      <c r="H41" s="45"/>
      <c r="I41" s="54"/>
      <c r="J41" s="47" t="str">
        <f>IF(OR(K41="ERREUR",L41="ERREUR",M41="ERREUR",N41="ERREUR",O41="ERREUR",P41="ERREUR",Q41="ERREUR"),"ERREUR",IF(AND(K41="",L41="",M41="",N41="",O41="",P41="",Q41=""),"ligne vide",IF(OR(K41="",L41="",M41="",N41="",O41="",P41="",Q41=""),"ligne incomplète","Valide")))</f>
        <v xml:space="preserve">ligne vide</v>
      </c>
      <c r="K41" s="48" t="str">
        <f>IF(ISBLANK(B41),IF(ISBLANK(B42),T(B41),"ERREUR"),IF(ISNUMBER(B41),_xlfn.NUMBERVALUE(B41),IF(ISTEXT(B41),VALUE(B41),"ERREUR")))</f>
        <v/>
      </c>
      <c r="L41" s="38" t="str">
        <f>IF(COUNTIF($R$4:$R$6,C41)&gt;0,C41,IF(ISBLANK(C41),IF(ISBLANK(D41),T(C41),"ERREUR"),"ERREUR"))</f>
        <v/>
      </c>
      <c r="M41" s="49" t="str">
        <f>IF(ISBLANK(D41),IF(ISBLANK(D42),T(D41),"ERREUR"),IF(COUNTIF($T$4:$T$240,SUBSTITUTE(SUBSTITUTE(SUBSTITUTE(SUBSTITUTE(SUBSTITUTE(SUBSTITUTE(UPPER(D41),"Å","A"),"É","E"),"È","E"),"Ê","E"),"Î","I"),"Ï","I"))&gt;0,D41,IF(ISBLANK(D41),T(D41),"ERREUR")))</f>
        <v/>
      </c>
      <c r="N41" s="38" t="str">
        <f>IF(COUNTIF($V$4:$V$6,E41)&gt;0,E41,IF(ISBLANK(E41),IF(ISBLANK(E42),T(E41),"ERREUR"),"ERREUR"))</f>
        <v/>
      </c>
      <c r="O41" s="38" t="str">
        <f>IF(COUNTIF($W$4:$W$5,F41)&gt;0,F41,IF(ISBLANK(F41),IF(ISBLANK(F42),T(F41),"ERREUR"),"ERREUR"))</f>
        <v/>
      </c>
      <c r="P41" s="38" t="str">
        <f>IF(COUNTIF($X$4:$X$8,G41)&gt;0,G41,IF(ISBLANK(G41),IF(ISBLANK(G42),T(G41),"ERREUR"),"ERREUR"))</f>
        <v/>
      </c>
      <c r="Q41" s="38" t="str">
        <f>IF(ISNUMBER(H41),IF(INT(H41)=H41,H41,"ERREUR"),IF(ISBLANK(H41),IF(ISBLANK(H42),T(H41),"ERREUR"),"ERREUR"))</f>
        <v/>
      </c>
      <c r="R41" s="38"/>
      <c r="S41" s="1" t="s">
        <v>122</v>
      </c>
      <c r="T41" s="39" t="s">
        <v>123</v>
      </c>
      <c r="U41" s="38" t="str">
        <f>SUBSTITUTE(SUBSTITUTE(SUBSTITUTE(SUBSTITUTE(SUBSTITUTE(SUBSTITUTE(SUBSTITUTE(SUBSTITUTE(UPPER(S41),"Å","A"),"É","E"),"È","E"),"Ê","E"),"Ë","E"),"Î","I"),"Ï","I"),"Ô","O")</f>
        <v>BURUNDI</v>
      </c>
      <c r="V41" s="38"/>
      <c r="W41" s="38"/>
      <c r="X41" s="53"/>
      <c r="Y41" s="42"/>
      <c r="Z41" s="42"/>
      <c r="AA41" s="42"/>
    </row>
    <row r="42" ht="13.75" customHeight="1">
      <c r="A42" s="14"/>
      <c r="B42" s="50"/>
      <c r="C42" s="43"/>
      <c r="D42" s="43"/>
      <c r="E42" s="44"/>
      <c r="F42" s="44"/>
      <c r="G42" s="44"/>
      <c r="H42" s="45"/>
      <c r="I42" s="54"/>
      <c r="J42" s="47" t="str">
        <f>IF(OR(K42="ERREUR",L42="ERREUR",M42="ERREUR",N42="ERREUR",O42="ERREUR",P42="ERREUR",Q42="ERREUR"),"ERREUR",IF(AND(K42="",L42="",M42="",N42="",O42="",P42="",Q42=""),"ligne vide",IF(OR(K42="",L42="",M42="",N42="",O42="",P42="",Q42=""),"ligne incomplète","Valide")))</f>
        <v xml:space="preserve">ligne vide</v>
      </c>
      <c r="K42" s="48" t="str">
        <f>IF(ISBLANK(B42),IF(ISBLANK(B43),T(B42),"ERREUR"),IF(ISNUMBER(B42),_xlfn.NUMBERVALUE(B42),IF(ISTEXT(B42),VALUE(B42),"ERREUR")))</f>
        <v/>
      </c>
      <c r="L42" s="38" t="str">
        <f>IF(COUNTIF($R$4:$R$6,C42)&gt;0,C42,IF(ISBLANK(C42),IF(ISBLANK(D42),T(C42),"ERREUR"),"ERREUR"))</f>
        <v/>
      </c>
      <c r="M42" s="49" t="str">
        <f>IF(ISBLANK(D42),IF(ISBLANK(D43),T(D42),"ERREUR"),IF(COUNTIF($T$4:$T$240,SUBSTITUTE(SUBSTITUTE(SUBSTITUTE(SUBSTITUTE(SUBSTITUTE(SUBSTITUTE(UPPER(D42),"Å","A"),"É","E"),"È","E"),"Ê","E"),"Î","I"),"Ï","I"))&gt;0,D42,IF(ISBLANK(D42),T(D42),"ERREUR")))</f>
        <v/>
      </c>
      <c r="N42" s="38" t="str">
        <f>IF(COUNTIF($V$4:$V$6,E42)&gt;0,E42,IF(ISBLANK(E42),IF(ISBLANK(E43),T(E42),"ERREUR"),"ERREUR"))</f>
        <v/>
      </c>
      <c r="O42" s="38" t="str">
        <f>IF(COUNTIF($W$4:$W$5,F42)&gt;0,F42,IF(ISBLANK(F42),IF(ISBLANK(F43),T(F42),"ERREUR"),"ERREUR"))</f>
        <v/>
      </c>
      <c r="P42" s="38" t="str">
        <f>IF(COUNTIF($X$4:$X$8,G42)&gt;0,G42,IF(ISBLANK(G42),IF(ISBLANK(G43),T(G42),"ERREUR"),"ERREUR"))</f>
        <v/>
      </c>
      <c r="Q42" s="38" t="str">
        <f>IF(ISNUMBER(H42),IF(INT(H42)=H42,H42,"ERREUR"),IF(ISBLANK(H42),IF(ISBLANK(H43),T(H42),"ERREUR"),"ERREUR"))</f>
        <v/>
      </c>
      <c r="R42" s="38"/>
      <c r="S42" s="1" t="s">
        <v>124</v>
      </c>
      <c r="T42" s="39" t="s">
        <v>125</v>
      </c>
      <c r="U42" s="38" t="str">
        <f>SUBSTITUTE(SUBSTITUTE(SUBSTITUTE(SUBSTITUTE(SUBSTITUTE(SUBSTITUTE(SUBSTITUTE(SUBSTITUTE(UPPER(S42),"Å","A"),"É","E"),"È","E"),"Ê","E"),"Ë","E"),"Î","I"),"Ï","I"),"Ô","O")</f>
        <v>CAMBODGE</v>
      </c>
      <c r="V42" s="38"/>
      <c r="W42" s="38"/>
      <c r="X42" s="53"/>
      <c r="Y42" s="42"/>
      <c r="Z42" s="42"/>
      <c r="AA42" s="42"/>
    </row>
    <row r="43" ht="13.75" customHeight="1">
      <c r="A43" s="14"/>
      <c r="B43" s="50"/>
      <c r="C43" s="43"/>
      <c r="D43" s="43"/>
      <c r="E43" s="44"/>
      <c r="F43" s="44"/>
      <c r="G43" s="44"/>
      <c r="H43" s="45"/>
      <c r="I43" s="54"/>
      <c r="J43" s="47" t="str">
        <f>IF(OR(K43="ERREUR",L43="ERREUR",M43="ERREUR",N43="ERREUR",O43="ERREUR",P43="ERREUR",Q43="ERREUR"),"ERREUR",IF(AND(K43="",L43="",M43="",N43="",O43="",P43="",Q43=""),"ligne vide",IF(OR(K43="",L43="",M43="",N43="",O43="",P43="",Q43=""),"ligne incomplète","Valide")))</f>
        <v xml:space="preserve">ligne vide</v>
      </c>
      <c r="K43" s="48" t="str">
        <f>IF(ISBLANK(B43),IF(ISBLANK(B44),T(B43),"ERREUR"),IF(ISNUMBER(B43),_xlfn.NUMBERVALUE(B43),IF(ISTEXT(B43),VALUE(B43),"ERREUR")))</f>
        <v/>
      </c>
      <c r="L43" s="38" t="str">
        <f>IF(COUNTIF($R$4:$R$6,C43)&gt;0,C43,IF(ISBLANK(C43),IF(ISBLANK(D43),T(C43),"ERREUR"),"ERREUR"))</f>
        <v/>
      </c>
      <c r="M43" s="49" t="str">
        <f>IF(ISBLANK(D43),IF(ISBLANK(D44),T(D43),"ERREUR"),IF(COUNTIF($T$4:$T$240,SUBSTITUTE(SUBSTITUTE(SUBSTITUTE(SUBSTITUTE(SUBSTITUTE(SUBSTITUTE(UPPER(D43),"Å","A"),"É","E"),"È","E"),"Ê","E"),"Î","I"),"Ï","I"))&gt;0,D43,IF(ISBLANK(D43),T(D43),"ERREUR")))</f>
        <v/>
      </c>
      <c r="N43" s="38" t="str">
        <f>IF(COUNTIF($V$4:$V$6,E43)&gt;0,E43,IF(ISBLANK(E43),IF(ISBLANK(E44),T(E43),"ERREUR"),"ERREUR"))</f>
        <v/>
      </c>
      <c r="O43" s="38" t="str">
        <f>IF(COUNTIF($W$4:$W$5,F43)&gt;0,F43,IF(ISBLANK(F43),IF(ISBLANK(F44),T(F43),"ERREUR"),"ERREUR"))</f>
        <v/>
      </c>
      <c r="P43" s="38" t="str">
        <f>IF(COUNTIF($X$4:$X$8,G43)&gt;0,G43,IF(ISBLANK(G43),IF(ISBLANK(G44),T(G43),"ERREUR"),"ERREUR"))</f>
        <v/>
      </c>
      <c r="Q43" s="38" t="str">
        <f>IF(ISNUMBER(H43),IF(INT(H43)=H43,H43,"ERREUR"),IF(ISBLANK(H43),IF(ISBLANK(H44),T(H43),"ERREUR"),"ERREUR"))</f>
        <v/>
      </c>
      <c r="R43" s="38"/>
      <c r="S43" s="1" t="s">
        <v>126</v>
      </c>
      <c r="T43" s="39" t="s">
        <v>127</v>
      </c>
      <c r="U43" s="38" t="str">
        <f>SUBSTITUTE(SUBSTITUTE(SUBSTITUTE(SUBSTITUTE(SUBSTITUTE(SUBSTITUTE(SUBSTITUTE(SUBSTITUTE(UPPER(S43),"Å","A"),"É","E"),"È","E"),"Ê","E"),"Ë","E"),"Î","I"),"Ï","I"),"Ô","O")</f>
        <v>CAMEROUN</v>
      </c>
      <c r="V43" s="38"/>
      <c r="W43" s="38"/>
      <c r="X43" s="53"/>
      <c r="Y43" s="42"/>
      <c r="Z43" s="42"/>
      <c r="AA43" s="42"/>
    </row>
    <row r="44" ht="13.75" customHeight="1">
      <c r="A44" s="14"/>
      <c r="B44" s="50"/>
      <c r="C44" s="43"/>
      <c r="D44" s="43"/>
      <c r="E44" s="44"/>
      <c r="F44" s="44"/>
      <c r="G44" s="44"/>
      <c r="H44" s="45"/>
      <c r="I44" s="54"/>
      <c r="J44" s="47" t="str">
        <f>IF(OR(K44="ERREUR",L44="ERREUR",M44="ERREUR",N44="ERREUR",O44="ERREUR",P44="ERREUR",Q44="ERREUR"),"ERREUR",IF(AND(K44="",L44="",M44="",N44="",O44="",P44="",Q44=""),"ligne vide",IF(OR(K44="",L44="",M44="",N44="",O44="",P44="",Q44=""),"ligne incomplète","Valide")))</f>
        <v xml:space="preserve">ligne vide</v>
      </c>
      <c r="K44" s="48" t="str">
        <f>IF(ISBLANK(B44),IF(ISBLANK(B45),T(B44),"ERREUR"),IF(ISNUMBER(B44),_xlfn.NUMBERVALUE(B44),IF(ISTEXT(B44),VALUE(B44),"ERREUR")))</f>
        <v/>
      </c>
      <c r="L44" s="38" t="str">
        <f>IF(COUNTIF($R$4:$R$6,C44)&gt;0,C44,IF(ISBLANK(C44),IF(ISBLANK(D44),T(C44),"ERREUR"),"ERREUR"))</f>
        <v/>
      </c>
      <c r="M44" s="49" t="str">
        <f>IF(ISBLANK(D44),IF(ISBLANK(D45),T(D44),"ERREUR"),IF(COUNTIF($T$4:$T$240,SUBSTITUTE(SUBSTITUTE(SUBSTITUTE(SUBSTITUTE(SUBSTITUTE(SUBSTITUTE(UPPER(D44),"Å","A"),"É","E"),"È","E"),"Ê","E"),"Î","I"),"Ï","I"))&gt;0,D44,IF(ISBLANK(D44),T(D44),"ERREUR")))</f>
        <v/>
      </c>
      <c r="N44" s="38" t="str">
        <f>IF(COUNTIF($V$4:$V$6,E44)&gt;0,E44,IF(ISBLANK(E44),IF(ISBLANK(E45),T(E44),"ERREUR"),"ERREUR"))</f>
        <v/>
      </c>
      <c r="O44" s="38" t="str">
        <f>IF(COUNTIF($W$4:$W$5,F44)&gt;0,F44,IF(ISBLANK(F44),IF(ISBLANK(F45),T(F44),"ERREUR"),"ERREUR"))</f>
        <v/>
      </c>
      <c r="P44" s="38" t="str">
        <f>IF(COUNTIF($X$4:$X$8,G44)&gt;0,G44,IF(ISBLANK(G44),IF(ISBLANK(G45),T(G44),"ERREUR"),"ERREUR"))</f>
        <v/>
      </c>
      <c r="Q44" s="38" t="str">
        <f>IF(ISNUMBER(H44),IF(INT(H44)=H44,H44,"ERREUR"),IF(ISBLANK(H44),IF(ISBLANK(H45),T(H44),"ERREUR"),"ERREUR"))</f>
        <v/>
      </c>
      <c r="R44" s="38"/>
      <c r="S44" s="1" t="s">
        <v>128</v>
      </c>
      <c r="T44" s="39" t="s">
        <v>129</v>
      </c>
      <c r="U44" s="38" t="str">
        <f>SUBSTITUTE(SUBSTITUTE(SUBSTITUTE(SUBSTITUTE(SUBSTITUTE(SUBSTITUTE(SUBSTITUTE(SUBSTITUTE(UPPER(S44),"Å","A"),"É","E"),"È","E"),"Ê","E"),"Ë","E"),"Î","I"),"Ï","I"),"Ô","O")</f>
        <v>CANADA</v>
      </c>
      <c r="V44" s="38"/>
      <c r="W44" s="38"/>
      <c r="X44" s="53"/>
      <c r="Y44" s="42"/>
      <c r="Z44" s="42"/>
      <c r="AA44" s="42"/>
    </row>
    <row r="45" ht="13.75" customHeight="1">
      <c r="A45" s="14"/>
      <c r="B45" s="50"/>
      <c r="C45" s="43"/>
      <c r="D45" s="43"/>
      <c r="E45" s="44"/>
      <c r="F45" s="44"/>
      <c r="G45" s="44"/>
      <c r="H45" s="45"/>
      <c r="I45" s="54"/>
      <c r="J45" s="47" t="str">
        <f>IF(OR(K45="ERREUR",L45="ERREUR",M45="ERREUR",N45="ERREUR",O45="ERREUR",P45="ERREUR",Q45="ERREUR"),"ERREUR",IF(AND(K45="",L45="",M45="",N45="",O45="",P45="",Q45=""),"ligne vide",IF(OR(K45="",L45="",M45="",N45="",O45="",P45="",Q45=""),"ligne incomplète","Valide")))</f>
        <v xml:space="preserve">ligne vide</v>
      </c>
      <c r="K45" s="48" t="str">
        <f>IF(ISBLANK(B45),IF(ISBLANK(B46),T(B45),"ERREUR"),IF(ISNUMBER(B45),_xlfn.NUMBERVALUE(B45),IF(ISTEXT(B45),VALUE(B45),"ERREUR")))</f>
        <v/>
      </c>
      <c r="L45" s="38" t="str">
        <f>IF(COUNTIF($R$4:$R$6,C45)&gt;0,C45,IF(ISBLANK(C45),IF(ISBLANK(D45),T(C45),"ERREUR"),"ERREUR"))</f>
        <v/>
      </c>
      <c r="M45" s="49" t="str">
        <f>IF(ISBLANK(D45),IF(ISBLANK(D46),T(D45),"ERREUR"),IF(COUNTIF($T$4:$T$240,SUBSTITUTE(SUBSTITUTE(SUBSTITUTE(SUBSTITUTE(SUBSTITUTE(SUBSTITUTE(UPPER(D45),"Å","A"),"É","E"),"È","E"),"Ê","E"),"Î","I"),"Ï","I"))&gt;0,D45,IF(ISBLANK(D45),T(D45),"ERREUR")))</f>
        <v/>
      </c>
      <c r="N45" s="38" t="str">
        <f>IF(COUNTIF($V$4:$V$6,E45)&gt;0,E45,IF(ISBLANK(E45),IF(ISBLANK(E46),T(E45),"ERREUR"),"ERREUR"))</f>
        <v/>
      </c>
      <c r="O45" s="38" t="str">
        <f>IF(COUNTIF($W$4:$W$5,F45)&gt;0,F45,IF(ISBLANK(F45),IF(ISBLANK(F46),T(F45),"ERREUR"),"ERREUR"))</f>
        <v/>
      </c>
      <c r="P45" s="38" t="str">
        <f>IF(COUNTIF($X$4:$X$8,G45)&gt;0,G45,IF(ISBLANK(G45),IF(ISBLANK(G46),T(G45),"ERREUR"),"ERREUR"))</f>
        <v/>
      </c>
      <c r="Q45" s="38" t="str">
        <f>IF(ISNUMBER(H45),IF(INT(H45)=H45,H45,"ERREUR"),IF(ISBLANK(H45),IF(ISBLANK(H46),T(H45),"ERREUR"),"ERREUR"))</f>
        <v/>
      </c>
      <c r="R45" s="38"/>
      <c r="S45" s="1" t="s">
        <v>130</v>
      </c>
      <c r="T45" s="39" t="s">
        <v>131</v>
      </c>
      <c r="U45" s="38" t="str">
        <f>SUBSTITUTE(SUBSTITUTE(SUBSTITUTE(SUBSTITUTE(SUBSTITUTE(SUBSTITUTE(SUBSTITUTE(SUBSTITUTE(UPPER(S45),"Å","A"),"É","E"),"È","E"),"Ê","E"),"Ë","E"),"Î","I"),"Ï","I"),"Ô","O")</f>
        <v>CAP-VERT</v>
      </c>
      <c r="V45" s="38"/>
      <c r="W45" s="38"/>
      <c r="X45" s="53"/>
      <c r="Y45" s="42"/>
      <c r="Z45" s="42"/>
      <c r="AA45" s="42"/>
    </row>
    <row r="46" ht="13.75" customHeight="1">
      <c r="A46" s="14"/>
      <c r="B46" s="50"/>
      <c r="C46" s="43"/>
      <c r="D46" s="43"/>
      <c r="E46" s="44"/>
      <c r="F46" s="44"/>
      <c r="G46" s="44"/>
      <c r="H46" s="45"/>
      <c r="I46" s="54"/>
      <c r="J46" s="47" t="str">
        <f>IF(OR(K46="ERREUR",L46="ERREUR",M46="ERREUR",N46="ERREUR",O46="ERREUR",P46="ERREUR",Q46="ERREUR"),"ERREUR",IF(AND(K46="",L46="",M46="",N46="",O46="",P46="",Q46=""),"ligne vide",IF(OR(K46="",L46="",M46="",N46="",O46="",P46="",Q46=""),"ligne incomplète","Valide")))</f>
        <v xml:space="preserve">ligne vide</v>
      </c>
      <c r="K46" s="48" t="str">
        <f>IF(ISBLANK(B46),IF(ISBLANK(B47),T(B46),"ERREUR"),IF(ISNUMBER(B46),_xlfn.NUMBERVALUE(B46),IF(ISTEXT(B46),VALUE(B46),"ERREUR")))</f>
        <v/>
      </c>
      <c r="L46" s="38" t="str">
        <f>IF(COUNTIF($R$4:$R$6,C46)&gt;0,C46,IF(ISBLANK(C46),IF(ISBLANK(D46),T(C46),"ERREUR"),"ERREUR"))</f>
        <v/>
      </c>
      <c r="M46" s="49" t="str">
        <f>IF(ISBLANK(D46),IF(ISBLANK(D47),T(D46),"ERREUR"),IF(COUNTIF($T$4:$T$240,SUBSTITUTE(SUBSTITUTE(SUBSTITUTE(SUBSTITUTE(SUBSTITUTE(SUBSTITUTE(UPPER(D46),"Å","A"),"É","E"),"È","E"),"Ê","E"),"Î","I"),"Ï","I"))&gt;0,D46,IF(ISBLANK(D46),T(D46),"ERREUR")))</f>
        <v/>
      </c>
      <c r="N46" s="38" t="str">
        <f>IF(COUNTIF($V$4:$V$6,E46)&gt;0,E46,IF(ISBLANK(E46),IF(ISBLANK(E47),T(E46),"ERREUR"),"ERREUR"))</f>
        <v/>
      </c>
      <c r="O46" s="38" t="str">
        <f>IF(COUNTIF($W$4:$W$5,F46)&gt;0,F46,IF(ISBLANK(F46),IF(ISBLANK(F47),T(F46),"ERREUR"),"ERREUR"))</f>
        <v/>
      </c>
      <c r="P46" s="38" t="str">
        <f>IF(COUNTIF($X$4:$X$8,G46)&gt;0,G46,IF(ISBLANK(G46),IF(ISBLANK(G47),T(G46),"ERREUR"),"ERREUR"))</f>
        <v/>
      </c>
      <c r="Q46" s="38" t="str">
        <f>IF(ISNUMBER(H46),IF(INT(H46)=H46,H46,"ERREUR"),IF(ISBLANK(H46),IF(ISBLANK(H47),T(H46),"ERREUR"),"ERREUR"))</f>
        <v/>
      </c>
      <c r="R46" s="38"/>
      <c r="S46" s="1" t="s">
        <v>132</v>
      </c>
      <c r="T46" s="39" t="s">
        <v>133</v>
      </c>
      <c r="U46" s="38" t="str">
        <f>SUBSTITUTE(SUBSTITUTE(SUBSTITUTE(SUBSTITUTE(SUBSTITUTE(SUBSTITUTE(SUBSTITUTE(SUBSTITUTE(UPPER(S46),"Å","A"),"É","E"),"È","E"),"Ê","E"),"Ë","E"),"Î","I"),"Ï","I"),"Ô","O")</f>
        <v>CHILI</v>
      </c>
      <c r="V46" s="38"/>
      <c r="W46" s="38"/>
      <c r="X46" s="53"/>
      <c r="Y46" s="42"/>
      <c r="Z46" s="42"/>
      <c r="AA46" s="42"/>
    </row>
    <row r="47" ht="13.75" customHeight="1">
      <c r="A47" s="14"/>
      <c r="B47" s="50"/>
      <c r="C47" s="43"/>
      <c r="D47" s="43"/>
      <c r="E47" s="44"/>
      <c r="F47" s="44"/>
      <c r="G47" s="44"/>
      <c r="H47" s="45"/>
      <c r="I47" s="54"/>
      <c r="J47" s="47" t="str">
        <f>IF(OR(K47="ERREUR",L47="ERREUR",M47="ERREUR",N47="ERREUR",O47="ERREUR",P47="ERREUR",Q47="ERREUR"),"ERREUR",IF(AND(K47="",L47="",M47="",N47="",O47="",P47="",Q47=""),"ligne vide",IF(OR(K47="",L47="",M47="",N47="",O47="",P47="",Q47=""),"ligne incomplète","Valide")))</f>
        <v xml:space="preserve">ligne vide</v>
      </c>
      <c r="K47" s="48" t="str">
        <f>IF(ISBLANK(B47),IF(ISBLANK(B48),T(B47),"ERREUR"),IF(ISNUMBER(B47),_xlfn.NUMBERVALUE(B47),IF(ISTEXT(B47),VALUE(B47),"ERREUR")))</f>
        <v/>
      </c>
      <c r="L47" s="38" t="str">
        <f>IF(COUNTIF($R$4:$R$6,C47)&gt;0,C47,IF(ISBLANK(C47),IF(ISBLANK(D47),T(C47),"ERREUR"),"ERREUR"))</f>
        <v/>
      </c>
      <c r="M47" s="49" t="str">
        <f>IF(ISBLANK(D47),IF(ISBLANK(D48),T(D47),"ERREUR"),IF(COUNTIF($T$4:$T$240,SUBSTITUTE(SUBSTITUTE(SUBSTITUTE(SUBSTITUTE(SUBSTITUTE(SUBSTITUTE(UPPER(D47),"Å","A"),"É","E"),"È","E"),"Ê","E"),"Î","I"),"Ï","I"))&gt;0,D47,IF(ISBLANK(D47),T(D47),"ERREUR")))</f>
        <v/>
      </c>
      <c r="N47" s="38" t="str">
        <f>IF(COUNTIF($V$4:$V$6,E47)&gt;0,E47,IF(ISBLANK(E47),IF(ISBLANK(E48),T(E47),"ERREUR"),"ERREUR"))</f>
        <v/>
      </c>
      <c r="O47" s="38" t="str">
        <f>IF(COUNTIF($W$4:$W$5,F47)&gt;0,F47,IF(ISBLANK(F47),IF(ISBLANK(F48),T(F47),"ERREUR"),"ERREUR"))</f>
        <v/>
      </c>
      <c r="P47" s="38" t="str">
        <f>IF(COUNTIF($X$4:$X$8,G47)&gt;0,G47,IF(ISBLANK(G47),IF(ISBLANK(G48),T(G47),"ERREUR"),"ERREUR"))</f>
        <v/>
      </c>
      <c r="Q47" s="38" t="str">
        <f>IF(ISNUMBER(H47),IF(INT(H47)=H47,H47,"ERREUR"),IF(ISBLANK(H47),IF(ISBLANK(H48),T(H47),"ERREUR"),"ERREUR"))</f>
        <v/>
      </c>
      <c r="R47" s="38"/>
      <c r="S47" s="1" t="s">
        <v>134</v>
      </c>
      <c r="T47" s="39" t="s">
        <v>135</v>
      </c>
      <c r="U47" s="38" t="str">
        <f>SUBSTITUTE(SUBSTITUTE(SUBSTITUTE(SUBSTITUTE(SUBSTITUTE(SUBSTITUTE(SUBSTITUTE(SUBSTITUTE(UPPER(S47),"Å","A"),"É","E"),"È","E"),"Ê","E"),"Ë","E"),"Î","I"),"Ï","I"),"Ô","O")</f>
        <v>CHINE</v>
      </c>
      <c r="V47" s="38"/>
      <c r="W47" s="38"/>
      <c r="X47" s="53"/>
      <c r="Y47" s="42"/>
      <c r="Z47" s="42"/>
      <c r="AA47" s="42"/>
    </row>
    <row r="48" ht="13.75" customHeight="1">
      <c r="A48" s="14"/>
      <c r="B48" s="50"/>
      <c r="C48" s="43"/>
      <c r="D48" s="43"/>
      <c r="E48" s="44"/>
      <c r="F48" s="44"/>
      <c r="G48" s="44"/>
      <c r="H48" s="45"/>
      <c r="I48" s="54"/>
      <c r="J48" s="47" t="str">
        <f>IF(OR(K48="ERREUR",L48="ERREUR",M48="ERREUR",N48="ERREUR",O48="ERREUR",P48="ERREUR",Q48="ERREUR"),"ERREUR",IF(AND(K48="",L48="",M48="",N48="",O48="",P48="",Q48=""),"ligne vide",IF(OR(K48="",L48="",M48="",N48="",O48="",P48="",Q48=""),"ligne incomplète","Valide")))</f>
        <v xml:space="preserve">ligne vide</v>
      </c>
      <c r="K48" s="48" t="str">
        <f>IF(ISBLANK(B48),IF(ISBLANK(B49),T(B48),"ERREUR"),IF(ISNUMBER(B48),_xlfn.NUMBERVALUE(B48),IF(ISTEXT(B48),VALUE(B48),"ERREUR")))</f>
        <v/>
      </c>
      <c r="L48" s="38" t="str">
        <f>IF(COUNTIF($R$4:$R$6,C48)&gt;0,C48,IF(ISBLANK(C48),IF(ISBLANK(D48),T(C48),"ERREUR"),"ERREUR"))</f>
        <v/>
      </c>
      <c r="M48" s="49" t="str">
        <f>IF(ISBLANK(D48),IF(ISBLANK(D49),T(D48),"ERREUR"),IF(COUNTIF($T$4:$T$240,SUBSTITUTE(SUBSTITUTE(SUBSTITUTE(SUBSTITUTE(SUBSTITUTE(SUBSTITUTE(UPPER(D48),"Å","A"),"É","E"),"È","E"),"Ê","E"),"Î","I"),"Ï","I"))&gt;0,D48,IF(ISBLANK(D48),T(D48),"ERREUR")))</f>
        <v/>
      </c>
      <c r="N48" s="38" t="str">
        <f>IF(COUNTIF($V$4:$V$6,E48)&gt;0,E48,IF(ISBLANK(E48),IF(ISBLANK(E49),T(E48),"ERREUR"),"ERREUR"))</f>
        <v/>
      </c>
      <c r="O48" s="38" t="str">
        <f>IF(COUNTIF($W$4:$W$5,F48)&gt;0,F48,IF(ISBLANK(F48),IF(ISBLANK(F49),T(F48),"ERREUR"),"ERREUR"))</f>
        <v/>
      </c>
      <c r="P48" s="38" t="str">
        <f>IF(COUNTIF($X$4:$X$8,G48)&gt;0,G48,IF(ISBLANK(G48),IF(ISBLANK(G49),T(G48),"ERREUR"),"ERREUR"))</f>
        <v/>
      </c>
      <c r="Q48" s="38" t="str">
        <f>IF(ISNUMBER(H48),IF(INT(H48)=H48,H48,"ERREUR"),IF(ISBLANK(H48),IF(ISBLANK(H49),T(H48),"ERREUR"),"ERREUR"))</f>
        <v/>
      </c>
      <c r="R48" s="38"/>
      <c r="S48" s="1" t="s">
        <v>136</v>
      </c>
      <c r="T48" s="39" t="s">
        <v>137</v>
      </c>
      <c r="U48" s="38" t="str">
        <f>SUBSTITUTE(SUBSTITUTE(SUBSTITUTE(SUBSTITUTE(SUBSTITUTE(SUBSTITUTE(SUBSTITUTE(SUBSTITUTE(UPPER(S48),"Å","A"),"É","E"),"È","E"),"Ê","E"),"Ë","E"),"Î","I"),"Ï","I"),"Ô","O")</f>
        <v xml:space="preserve">CHRISTMAS, ILE</v>
      </c>
      <c r="V48" s="38"/>
      <c r="W48" s="38"/>
      <c r="X48" s="53"/>
      <c r="Y48" s="42"/>
      <c r="Z48" s="42"/>
      <c r="AA48" s="42"/>
    </row>
    <row r="49" ht="13.75" customHeight="1">
      <c r="A49" s="14"/>
      <c r="B49" s="50"/>
      <c r="C49" s="43"/>
      <c r="D49" s="43"/>
      <c r="E49" s="44"/>
      <c r="F49" s="44"/>
      <c r="G49" s="44"/>
      <c r="H49" s="45"/>
      <c r="I49" s="54"/>
      <c r="J49" s="47" t="str">
        <f>IF(OR(K49="ERREUR",L49="ERREUR",M49="ERREUR",N49="ERREUR",O49="ERREUR",P49="ERREUR",Q49="ERREUR"),"ERREUR",IF(AND(K49="",L49="",M49="",N49="",O49="",P49="",Q49=""),"ligne vide",IF(OR(K49="",L49="",M49="",N49="",O49="",P49="",Q49=""),"ligne incomplète","Valide")))</f>
        <v xml:space="preserve">ligne vide</v>
      </c>
      <c r="K49" s="48" t="str">
        <f>IF(ISBLANK(B49),IF(ISBLANK(B50),T(B49),"ERREUR"),IF(ISNUMBER(B49),_xlfn.NUMBERVALUE(B49),IF(ISTEXT(B49),VALUE(B49),"ERREUR")))</f>
        <v/>
      </c>
      <c r="L49" s="38" t="str">
        <f>IF(COUNTIF($R$4:$R$6,C49)&gt;0,C49,IF(ISBLANK(C49),IF(ISBLANK(D49),T(C49),"ERREUR"),"ERREUR"))</f>
        <v/>
      </c>
      <c r="M49" s="49" t="str">
        <f>IF(ISBLANK(D49),IF(ISBLANK(D50),T(D49),"ERREUR"),IF(COUNTIF($T$4:$T$240,SUBSTITUTE(SUBSTITUTE(SUBSTITUTE(SUBSTITUTE(SUBSTITUTE(SUBSTITUTE(UPPER(D49),"Å","A"),"É","E"),"È","E"),"Ê","E"),"Î","I"),"Ï","I"))&gt;0,D49,IF(ISBLANK(D49),T(D49),"ERREUR")))</f>
        <v/>
      </c>
      <c r="N49" s="38" t="str">
        <f>IF(COUNTIF($V$4:$V$6,E49)&gt;0,E49,IF(ISBLANK(E49),IF(ISBLANK(E50),T(E49),"ERREUR"),"ERREUR"))</f>
        <v/>
      </c>
      <c r="O49" s="38" t="str">
        <f>IF(COUNTIF($W$4:$W$5,F49)&gt;0,F49,IF(ISBLANK(F49),IF(ISBLANK(F50),T(F49),"ERREUR"),"ERREUR"))</f>
        <v/>
      </c>
      <c r="P49" s="38" t="str">
        <f>IF(COUNTIF($X$4:$X$8,G49)&gt;0,G49,IF(ISBLANK(G49),IF(ISBLANK(G50),T(G49),"ERREUR"),"ERREUR"))</f>
        <v/>
      </c>
      <c r="Q49" s="38" t="str">
        <f>IF(ISNUMBER(H49),IF(INT(H49)=H49,H49,"ERREUR"),IF(ISBLANK(H49),IF(ISBLANK(H50),T(H49),"ERREUR"),"ERREUR"))</f>
        <v/>
      </c>
      <c r="R49" s="38"/>
      <c r="S49" s="1" t="s">
        <v>138</v>
      </c>
      <c r="T49" s="39" t="s">
        <v>139</v>
      </c>
      <c r="U49" s="38" t="str">
        <f>SUBSTITUTE(SUBSTITUTE(SUBSTITUTE(SUBSTITUTE(SUBSTITUTE(SUBSTITUTE(SUBSTITUTE(SUBSTITUTE(UPPER(S49),"Å","A"),"É","E"),"È","E"),"Ê","E"),"Ë","E"),"Î","I"),"Ï","I"),"Ô","O")</f>
        <v>CHYPRE</v>
      </c>
      <c r="V49" s="38"/>
      <c r="W49" s="38"/>
      <c r="X49" s="53"/>
      <c r="Y49" s="42"/>
      <c r="Z49" s="42"/>
      <c r="AA49" s="42"/>
    </row>
    <row r="50" ht="13.75" customHeight="1">
      <c r="A50" s="14" t="s">
        <v>140</v>
      </c>
      <c r="B50" s="50"/>
      <c r="C50" s="43"/>
      <c r="D50" s="43"/>
      <c r="E50" s="44"/>
      <c r="F50" s="44"/>
      <c r="G50" s="44"/>
      <c r="H50" s="45"/>
      <c r="I50" s="54"/>
      <c r="J50" s="47" t="str">
        <f>IF(OR(K50="ERREUR",L50="ERREUR",M50="ERREUR",N50="ERREUR",O50="ERREUR",P50="ERREUR",Q50="ERREUR"),"ERREUR",IF(AND(K50="",L50="",M50="",N50="",O50="",P50="",Q50=""),"ligne vide",IF(OR(K50="",L50="",M50="",N50="",O50="",P50="",Q50=""),"ligne incomplète","Valide")))</f>
        <v xml:space="preserve">ligne vide</v>
      </c>
      <c r="K50" s="48" t="str">
        <f>IF(ISBLANK(B50),IF(ISBLANK(B51),T(B50),"ERREUR"),IF(ISNUMBER(B50),_xlfn.NUMBERVALUE(B50),IF(ISTEXT(B50),VALUE(B50),"ERREUR")))</f>
        <v/>
      </c>
      <c r="L50" s="38" t="str">
        <f>IF(COUNTIF($R$4:$R$6,C50)&gt;0,C50,IF(ISBLANK(C50),IF(ISBLANK(D50),T(C50),"ERREUR"),"ERREUR"))</f>
        <v/>
      </c>
      <c r="M50" s="49" t="str">
        <f>IF(ISBLANK(D50),IF(ISBLANK(D51),T(D50),"ERREUR"),IF(COUNTIF($T$4:$T$240,SUBSTITUTE(SUBSTITUTE(SUBSTITUTE(SUBSTITUTE(SUBSTITUTE(SUBSTITUTE(UPPER(D50),"Å","A"),"É","E"),"È","E"),"Ê","E"),"Î","I"),"Ï","I"))&gt;0,D50,IF(ISBLANK(D50),T(D50),"ERREUR")))</f>
        <v/>
      </c>
      <c r="N50" s="38" t="str">
        <f>IF(COUNTIF($V$4:$V$6,E50)&gt;0,E50,IF(ISBLANK(E50),IF(ISBLANK(E51),T(E50),"ERREUR"),"ERREUR"))</f>
        <v/>
      </c>
      <c r="O50" s="38" t="str">
        <f>IF(COUNTIF($W$4:$W$5,F50)&gt;0,F50,IF(ISBLANK(F50),IF(ISBLANK(F51),T(F50),"ERREUR"),"ERREUR"))</f>
        <v/>
      </c>
      <c r="P50" s="38" t="str">
        <f>IF(COUNTIF($X$4:$X$8,G50)&gt;0,G50,IF(ISBLANK(G50),IF(ISBLANK(G51),T(G50),"ERREUR"),"ERREUR"))</f>
        <v/>
      </c>
      <c r="Q50" s="38" t="str">
        <f>IF(ISNUMBER(H50),IF(INT(H50)=H50,H50,"ERREUR"),IF(ISBLANK(H50),IF(ISBLANK(H51),T(H50),"ERREUR"),"ERREUR"))</f>
        <v/>
      </c>
      <c r="R50" s="38"/>
      <c r="S50" s="1" t="s">
        <v>141</v>
      </c>
      <c r="T50" s="39" t="s">
        <v>142</v>
      </c>
      <c r="U50" s="38" t="str">
        <f>SUBSTITUTE(SUBSTITUTE(SUBSTITUTE(SUBSTITUTE(SUBSTITUTE(SUBSTITUTE(SUBSTITUTE(SUBSTITUTE(UPPER(S50),"Å","A"),"É","E"),"È","E"),"Ê","E"),"Ë","E"),"Î","I"),"Ï","I"),"Ô","O")</f>
        <v xml:space="preserve">COCOS (KEELING), ILES</v>
      </c>
      <c r="V50" s="38"/>
      <c r="W50" s="38"/>
      <c r="X50" s="53"/>
      <c r="Y50" s="42"/>
      <c r="Z50" s="42"/>
      <c r="AA50" s="42"/>
    </row>
    <row r="51" ht="13.75" customHeight="1">
      <c r="A51" s="14" t="s">
        <v>140</v>
      </c>
      <c r="B51" s="50"/>
      <c r="C51" s="43"/>
      <c r="D51" s="43"/>
      <c r="E51" s="44"/>
      <c r="F51" s="44"/>
      <c r="G51" s="44"/>
      <c r="H51" s="45"/>
      <c r="I51" s="54"/>
      <c r="J51" s="47" t="str">
        <f>IF(OR(K51="ERREUR",L51="ERREUR",M51="ERREUR",N51="ERREUR",O51="ERREUR",P51="ERREUR",Q51="ERREUR"),"ERREUR",IF(AND(K51="",L51="",M51="",N51="",O51="",P51="",Q51=""),"ligne vide",IF(OR(K51="",L51="",M51="",N51="",O51="",P51="",Q51=""),"ligne incomplète","Valide")))</f>
        <v xml:space="preserve">ligne vide</v>
      </c>
      <c r="K51" s="48" t="str">
        <f>IF(ISBLANK(B51),IF(ISBLANK(B52),T(B51),"ERREUR"),IF(ISNUMBER(B51),_xlfn.NUMBERVALUE(B51),IF(ISTEXT(B51),VALUE(B51),"ERREUR")))</f>
        <v/>
      </c>
      <c r="L51" s="38" t="str">
        <f>IF(COUNTIF($R$4:$R$6,C51)&gt;0,C51,IF(ISBLANK(C51),IF(ISBLANK(D51),T(C51),"ERREUR"),"ERREUR"))</f>
        <v/>
      </c>
      <c r="M51" s="49" t="str">
        <f>IF(ISBLANK(D51),IF(ISBLANK(D52),T(D51),"ERREUR"),IF(COUNTIF($T$4:$T$240,SUBSTITUTE(SUBSTITUTE(SUBSTITUTE(SUBSTITUTE(SUBSTITUTE(SUBSTITUTE(UPPER(D51),"Å","A"),"É","E"),"È","E"),"Ê","E"),"Î","I"),"Ï","I"))&gt;0,D51,IF(ISBLANK(D51),T(D51),"ERREUR")))</f>
        <v/>
      </c>
      <c r="N51" s="38" t="str">
        <f>IF(COUNTIF($V$4:$V$6,E51)&gt;0,E51,IF(ISBLANK(E51),IF(ISBLANK(E52),T(E51),"ERREUR"),"ERREUR"))</f>
        <v/>
      </c>
      <c r="O51" s="38" t="str">
        <f>IF(COUNTIF($W$4:$W$5,F51)&gt;0,F51,IF(ISBLANK(F51),IF(ISBLANK(F52),T(F51),"ERREUR"),"ERREUR"))</f>
        <v/>
      </c>
      <c r="P51" s="38" t="str">
        <f>IF(COUNTIF($X$4:$X$8,G51)&gt;0,G51,IF(ISBLANK(G51),IF(ISBLANK(G52),T(G51),"ERREUR"),"ERREUR"))</f>
        <v/>
      </c>
      <c r="Q51" s="38" t="str">
        <f>IF(ISNUMBER(H51),IF(INT(H51)=H51,H51,"ERREUR"),IF(ISBLANK(H51),IF(ISBLANK(H52),T(H51),"ERREUR"),"ERREUR"))</f>
        <v/>
      </c>
      <c r="R51" s="38"/>
      <c r="S51" s="1" t="s">
        <v>143</v>
      </c>
      <c r="T51" s="39" t="s">
        <v>144</v>
      </c>
      <c r="U51" s="38" t="str">
        <f>SUBSTITUTE(SUBSTITUTE(SUBSTITUTE(SUBSTITUTE(SUBSTITUTE(SUBSTITUTE(SUBSTITUTE(SUBSTITUTE(UPPER(S51),"Å","A"),"É","E"),"È","E"),"Ê","E"),"Ë","E"),"Î","I"),"Ï","I"),"Ô","O")</f>
        <v>COLOMBIE</v>
      </c>
      <c r="V51" s="38"/>
      <c r="W51" s="38"/>
      <c r="X51" s="53"/>
      <c r="Y51" s="42"/>
      <c r="Z51" s="42"/>
      <c r="AA51" s="42"/>
    </row>
    <row r="52" ht="13.75" customHeight="1">
      <c r="A52" s="14" t="s">
        <v>140</v>
      </c>
      <c r="B52" s="50"/>
      <c r="C52" s="43"/>
      <c r="D52" s="43"/>
      <c r="E52" s="44"/>
      <c r="F52" s="44"/>
      <c r="G52" s="44"/>
      <c r="H52" s="45"/>
      <c r="I52" s="54"/>
      <c r="J52" s="47" t="str">
        <f>IF(OR(K52="ERREUR",L52="ERREUR",M52="ERREUR",N52="ERREUR",O52="ERREUR",P52="ERREUR",Q52="ERREUR"),"ERREUR",IF(AND(K52="",L52="",M52="",N52="",O52="",P52="",Q52=""),"ligne vide",IF(OR(K52="",L52="",M52="",N52="",O52="",P52="",Q52=""),"ligne incomplète","Valide")))</f>
        <v xml:space="preserve">ligne vide</v>
      </c>
      <c r="K52" s="48" t="str">
        <f>IF(ISBLANK(B52),IF(ISBLANK(B53),T(B52),"ERREUR"),IF(ISNUMBER(B52),_xlfn.NUMBERVALUE(B52),IF(ISTEXT(B52),VALUE(B52),"ERREUR")))</f>
        <v/>
      </c>
      <c r="L52" s="38" t="str">
        <f>IF(COUNTIF($R$4:$R$6,C52)&gt;0,C52,IF(ISBLANK(C52),IF(ISBLANK(D52),T(C52),"ERREUR"),"ERREUR"))</f>
        <v/>
      </c>
      <c r="M52" s="49" t="str">
        <f>IF(ISBLANK(D52),IF(ISBLANK(D53),T(D52),"ERREUR"),IF(COUNTIF($T$4:$T$240,SUBSTITUTE(SUBSTITUTE(SUBSTITUTE(SUBSTITUTE(SUBSTITUTE(SUBSTITUTE(UPPER(D52),"Å","A"),"É","E"),"È","E"),"Ê","E"),"Î","I"),"Ï","I"))&gt;0,D52,IF(ISBLANK(D52),T(D52),"ERREUR")))</f>
        <v/>
      </c>
      <c r="N52" s="38" t="str">
        <f>IF(COUNTIF($V$4:$V$6,E52)&gt;0,E52,IF(ISBLANK(E52),IF(ISBLANK(E53),T(E52),"ERREUR"),"ERREUR"))</f>
        <v/>
      </c>
      <c r="O52" s="38" t="str">
        <f>IF(COUNTIF($W$4:$W$5,F52)&gt;0,F52,IF(ISBLANK(F52),IF(ISBLANK(F53),T(F52),"ERREUR"),"ERREUR"))</f>
        <v/>
      </c>
      <c r="P52" s="38" t="str">
        <f>IF(COUNTIF($X$4:$X$8,G52)&gt;0,G52,IF(ISBLANK(G52),IF(ISBLANK(G53),T(G52),"ERREUR"),"ERREUR"))</f>
        <v/>
      </c>
      <c r="Q52" s="38" t="str">
        <f>IF(ISNUMBER(H52),IF(INT(H52)=H52,H52,"ERREUR"),IF(ISBLANK(H52),IF(ISBLANK(H53),T(H52),"ERREUR"),"ERREUR"))</f>
        <v/>
      </c>
      <c r="R52" s="38"/>
      <c r="S52" s="1" t="s">
        <v>145</v>
      </c>
      <c r="T52" s="39" t="s">
        <v>146</v>
      </c>
      <c r="U52" s="38" t="str">
        <f>SUBSTITUTE(SUBSTITUTE(SUBSTITUTE(SUBSTITUTE(SUBSTITUTE(SUBSTITUTE(SUBSTITUTE(SUBSTITUTE(UPPER(S52),"Å","A"),"É","E"),"È","E"),"Ê","E"),"Ë","E"),"Î","I"),"Ï","I"),"Ô","O")</f>
        <v>COMORES</v>
      </c>
      <c r="V52" s="38"/>
      <c r="W52" s="38"/>
      <c r="X52" s="53"/>
      <c r="Y52" s="42"/>
      <c r="Z52" s="42"/>
      <c r="AA52" s="42"/>
    </row>
    <row r="53" ht="13.75" customHeight="1">
      <c r="A53" s="14" t="s">
        <v>140</v>
      </c>
      <c r="B53" s="50"/>
      <c r="C53" s="43"/>
      <c r="D53" s="43"/>
      <c r="E53" s="44"/>
      <c r="F53" s="44"/>
      <c r="G53" s="44"/>
      <c r="H53" s="45"/>
      <c r="I53" s="54"/>
      <c r="J53" s="47" t="str">
        <f>IF(OR(K53="ERREUR",L53="ERREUR",M53="ERREUR",N53="ERREUR",O53="ERREUR",P53="ERREUR",Q53="ERREUR"),"ERREUR",IF(AND(K53="",L53="",M53="",N53="",O53="",P53="",Q53=""),"ligne vide",IF(OR(K53="",L53="",M53="",N53="",O53="",P53="",Q53=""),"ligne incomplète","Valide")))</f>
        <v xml:space="preserve">ligne vide</v>
      </c>
      <c r="K53" s="48" t="str">
        <f>IF(ISBLANK(B53),IF(ISBLANK(B54),T(B53),"ERREUR"),IF(ISNUMBER(B53),_xlfn.NUMBERVALUE(B53),IF(ISTEXT(B53),VALUE(B53),"ERREUR")))</f>
        <v/>
      </c>
      <c r="L53" s="38" t="str">
        <f>IF(COUNTIF($R$4:$R$6,C53)&gt;0,C53,IF(ISBLANK(C53),IF(ISBLANK(D53),T(C53),"ERREUR"),"ERREUR"))</f>
        <v/>
      </c>
      <c r="M53" s="49" t="str">
        <f>IF(ISBLANK(D53),IF(ISBLANK(D54),T(D53),"ERREUR"),IF(COUNTIF($T$4:$T$240,SUBSTITUTE(SUBSTITUTE(SUBSTITUTE(SUBSTITUTE(SUBSTITUTE(SUBSTITUTE(UPPER(D53),"Å","A"),"É","E"),"È","E"),"Ê","E"),"Î","I"),"Ï","I"))&gt;0,D53,IF(ISBLANK(D53),T(D53),"ERREUR")))</f>
        <v/>
      </c>
      <c r="N53" s="38" t="str">
        <f>IF(COUNTIF($V$4:$V$6,E53)&gt;0,E53,IF(ISBLANK(E53),IF(ISBLANK(E54),T(E53),"ERREUR"),"ERREUR"))</f>
        <v/>
      </c>
      <c r="O53" s="38" t="str">
        <f>IF(COUNTIF($W$4:$W$5,F53)&gt;0,F53,IF(ISBLANK(F53),IF(ISBLANK(F54),T(F53),"ERREUR"),"ERREUR"))</f>
        <v/>
      </c>
      <c r="P53" s="38" t="str">
        <f>IF(COUNTIF($X$4:$X$8,G53)&gt;0,G53,IF(ISBLANK(G53),IF(ISBLANK(G54),T(G53),"ERREUR"),"ERREUR"))</f>
        <v/>
      </c>
      <c r="Q53" s="38" t="str">
        <f>IF(ISNUMBER(H53),IF(INT(H53)=H53,H53,"ERREUR"),IF(ISBLANK(H53),IF(ISBLANK(H54),T(H53),"ERREUR"),"ERREUR"))</f>
        <v/>
      </c>
      <c r="R53" s="38"/>
      <c r="S53" s="1" t="s">
        <v>147</v>
      </c>
      <c r="T53" s="39" t="s">
        <v>148</v>
      </c>
      <c r="U53" s="38" t="str">
        <f>SUBSTITUTE(SUBSTITUTE(SUBSTITUTE(SUBSTITUTE(SUBSTITUTE(SUBSTITUTE(SUBSTITUTE(SUBSTITUTE(UPPER(S53),"Å","A"),"É","E"),"È","E"),"Ê","E"),"Ë","E"),"Î","I"),"Ï","I"),"Ô","O")</f>
        <v xml:space="preserve">COREE, REPUBLIQUE DE</v>
      </c>
      <c r="V53" s="38"/>
      <c r="W53" s="38"/>
      <c r="X53" s="53"/>
      <c r="Y53" s="42"/>
      <c r="Z53" s="42"/>
      <c r="AA53" s="42"/>
    </row>
    <row r="54" ht="13.75" customHeight="1">
      <c r="A54" s="14" t="s">
        <v>140</v>
      </c>
      <c r="B54" s="50"/>
      <c r="C54" s="43"/>
      <c r="D54" s="43"/>
      <c r="E54" s="44"/>
      <c r="F54" s="44"/>
      <c r="G54" s="44"/>
      <c r="H54" s="45"/>
      <c r="I54" s="54"/>
      <c r="J54" s="47" t="str">
        <f>IF(OR(K54="ERREUR",L54="ERREUR",M54="ERREUR",N54="ERREUR",O54="ERREUR",P54="ERREUR",Q54="ERREUR"),"ERREUR",IF(AND(K54="",L54="",M54="",N54="",O54="",P54="",Q54=""),"ligne vide",IF(OR(K54="",L54="",M54="",N54="",O54="",P54="",Q54=""),"ligne incomplète","Valide")))</f>
        <v xml:space="preserve">ligne vide</v>
      </c>
      <c r="K54" s="48" t="str">
        <f>IF(ISBLANK(B54),IF(ISBLANK(B55),T(B54),"ERREUR"),IF(ISNUMBER(B54),_xlfn.NUMBERVALUE(B54),IF(ISTEXT(B54),VALUE(B54),"ERREUR")))</f>
        <v/>
      </c>
      <c r="L54" s="38" t="str">
        <f>IF(COUNTIF($R$4:$R$6,C54)&gt;0,C54,IF(ISBLANK(C54),IF(ISBLANK(D54),T(C54),"ERREUR"),"ERREUR"))</f>
        <v/>
      </c>
      <c r="M54" s="49" t="str">
        <f>IF(ISBLANK(D54),IF(ISBLANK(D55),T(D54),"ERREUR"),IF(COUNTIF($T$4:$T$240,SUBSTITUTE(SUBSTITUTE(SUBSTITUTE(SUBSTITUTE(SUBSTITUTE(SUBSTITUTE(UPPER(D54),"Å","A"),"É","E"),"È","E"),"Ê","E"),"Î","I"),"Ï","I"))&gt;0,D54,IF(ISBLANK(D54),T(D54),"ERREUR")))</f>
        <v/>
      </c>
      <c r="N54" s="38" t="str">
        <f>IF(COUNTIF($V$4:$V$6,E54)&gt;0,E54,IF(ISBLANK(E54),IF(ISBLANK(E55),T(E54),"ERREUR"),"ERREUR"))</f>
        <v/>
      </c>
      <c r="O54" s="38" t="str">
        <f>IF(COUNTIF($W$4:$W$5,F54)&gt;0,F54,IF(ISBLANK(F54),IF(ISBLANK(F55),T(F54),"ERREUR"),"ERREUR"))</f>
        <v/>
      </c>
      <c r="P54" s="38" t="str">
        <f>IF(COUNTIF($X$4:$X$8,G54)&gt;0,G54,IF(ISBLANK(G54),IF(ISBLANK(G55),T(G54),"ERREUR"),"ERREUR"))</f>
        <v/>
      </c>
      <c r="Q54" s="38" t="str">
        <f>IF(ISNUMBER(H54),IF(INT(H54)=H54,H54,"ERREUR"),IF(ISBLANK(H54),IF(ISBLANK(H55),T(H54),"ERREUR"),"ERREUR"))</f>
        <v/>
      </c>
      <c r="R54" s="38"/>
      <c r="S54" s="1" t="s">
        <v>149</v>
      </c>
      <c r="T54" s="39" t="s">
        <v>150</v>
      </c>
      <c r="U54" s="38" t="str">
        <f>SUBSTITUTE(SUBSTITUTE(SUBSTITUTE(SUBSTITUTE(SUBSTITUTE(SUBSTITUTE(SUBSTITUTE(SUBSTITUTE(UPPER(S54),"Å","A"),"É","E"),"È","E"),"Ê","E"),"Ë","E"),"Î","I"),"Ï","I"),"Ô","O")</f>
        <v xml:space="preserve">COREE, REPUBLIQUE POPULAIRE DEMOCRATIQUE DE</v>
      </c>
      <c r="V54" s="38"/>
      <c r="W54" s="38"/>
      <c r="X54" s="53"/>
      <c r="Y54" s="42"/>
      <c r="Z54" s="42"/>
      <c r="AA54" s="42"/>
    </row>
    <row r="55" ht="13.75" customHeight="1">
      <c r="A55" s="14" t="s">
        <v>140</v>
      </c>
      <c r="B55" s="50"/>
      <c r="C55" s="43"/>
      <c r="D55" s="43"/>
      <c r="E55" s="44"/>
      <c r="F55" s="44"/>
      <c r="G55" s="44"/>
      <c r="H55" s="45"/>
      <c r="I55" s="54"/>
      <c r="J55" s="47" t="str">
        <f>IF(OR(K55="ERREUR",L55="ERREUR",M55="ERREUR",N55="ERREUR",O55="ERREUR",P55="ERREUR",Q55="ERREUR"),"ERREUR",IF(AND(K55="",L55="",M55="",N55="",O55="",P55="",Q55=""),"ligne vide",IF(OR(K55="",L55="",M55="",N55="",O55="",P55="",Q55=""),"ligne incomplète","Valide")))</f>
        <v xml:space="preserve">ligne vide</v>
      </c>
      <c r="K55" s="48" t="str">
        <f>IF(ISBLANK(B55),IF(ISBLANK(B56),T(B55),"ERREUR"),IF(ISNUMBER(B55),_xlfn.NUMBERVALUE(B55),IF(ISTEXT(B55),VALUE(B55),"ERREUR")))</f>
        <v/>
      </c>
      <c r="L55" s="38" t="str">
        <f>IF(COUNTIF($R$4:$R$6,C55)&gt;0,C55,IF(ISBLANK(C55),IF(ISBLANK(D55),T(C55),"ERREUR"),"ERREUR"))</f>
        <v/>
      </c>
      <c r="M55" s="49" t="str">
        <f>IF(ISBLANK(D55),IF(ISBLANK(D56),T(D55),"ERREUR"),IF(COUNTIF($T$4:$T$240,SUBSTITUTE(SUBSTITUTE(SUBSTITUTE(SUBSTITUTE(SUBSTITUTE(SUBSTITUTE(UPPER(D55),"Å","A"),"É","E"),"È","E"),"Ê","E"),"Î","I"),"Ï","I"))&gt;0,D55,IF(ISBLANK(D55),T(D55),"ERREUR")))</f>
        <v/>
      </c>
      <c r="N55" s="38" t="str">
        <f>IF(COUNTIF($V$4:$V$6,E55)&gt;0,E55,IF(ISBLANK(E55),IF(ISBLANK(E56),T(E55),"ERREUR"),"ERREUR"))</f>
        <v/>
      </c>
      <c r="O55" s="38" t="str">
        <f>IF(COUNTIF($W$4:$W$5,F55)&gt;0,F55,IF(ISBLANK(F55),IF(ISBLANK(F56),T(F55),"ERREUR"),"ERREUR"))</f>
        <v/>
      </c>
      <c r="P55" s="38" t="str">
        <f>IF(COUNTIF($X$4:$X$8,G55)&gt;0,G55,IF(ISBLANK(G55),IF(ISBLANK(G56),T(G55),"ERREUR"),"ERREUR"))</f>
        <v/>
      </c>
      <c r="Q55" s="38" t="str">
        <f>IF(ISNUMBER(H55),IF(INT(H55)=H55,H55,"ERREUR"),IF(ISBLANK(H55),IF(ISBLANK(H56),T(H55),"ERREUR"),"ERREUR"))</f>
        <v/>
      </c>
      <c r="R55" s="38"/>
      <c r="S55" s="1" t="s">
        <v>151</v>
      </c>
      <c r="T55" s="39" t="s">
        <v>152</v>
      </c>
      <c r="U55" s="38" t="str">
        <f>SUBSTITUTE(SUBSTITUTE(SUBSTITUTE(SUBSTITUTE(SUBSTITUTE(SUBSTITUTE(SUBSTITUTE(SUBSTITUTE(UPPER(S55),"Å","A"),"É","E"),"È","E"),"Ê","E"),"Ë","E"),"Î","I"),"Ï","I"),"Ô","O")</f>
        <v xml:space="preserve">COSTA RICA</v>
      </c>
      <c r="V55" s="38"/>
      <c r="W55" s="38"/>
      <c r="X55" s="53"/>
      <c r="Y55" s="42"/>
      <c r="Z55" s="42"/>
      <c r="AA55" s="42"/>
    </row>
    <row r="56" ht="13.75" customHeight="1">
      <c r="A56" s="14" t="s">
        <v>140</v>
      </c>
      <c r="B56" s="50"/>
      <c r="C56" s="43"/>
      <c r="D56" s="43"/>
      <c r="E56" s="44"/>
      <c r="F56" s="44"/>
      <c r="G56" s="44"/>
      <c r="H56" s="45"/>
      <c r="I56" s="54"/>
      <c r="J56" s="47" t="str">
        <f>IF(OR(K56="ERREUR",L56="ERREUR",M56="ERREUR",N56="ERREUR",O56="ERREUR",P56="ERREUR",Q56="ERREUR"),"ERREUR",IF(AND(K56="",L56="",M56="",N56="",O56="",P56="",Q56=""),"ligne vide",IF(OR(K56="",L56="",M56="",N56="",O56="",P56="",Q56=""),"ligne incomplète","Valide")))</f>
        <v xml:space="preserve">ligne vide</v>
      </c>
      <c r="K56" s="48" t="str">
        <f>IF(ISBLANK(B56),IF(ISBLANK(B57),T(B56),"ERREUR"),IF(ISNUMBER(B56),_xlfn.NUMBERVALUE(B56),IF(ISTEXT(B56),VALUE(B56),"ERREUR")))</f>
        <v/>
      </c>
      <c r="L56" s="38" t="str">
        <f>IF(COUNTIF($R$4:$R$6,C56)&gt;0,C56,IF(ISBLANK(C56),IF(ISBLANK(D56),T(C56),"ERREUR"),"ERREUR"))</f>
        <v/>
      </c>
      <c r="M56" s="49" t="str">
        <f>IF(ISBLANK(D56),IF(ISBLANK(D57),T(D56),"ERREUR"),IF(COUNTIF($T$4:$T$240,SUBSTITUTE(SUBSTITUTE(SUBSTITUTE(SUBSTITUTE(SUBSTITUTE(SUBSTITUTE(UPPER(D56),"Å","A"),"É","E"),"È","E"),"Ê","E"),"Î","I"),"Ï","I"))&gt;0,D56,IF(ISBLANK(D56),T(D56),"ERREUR")))</f>
        <v/>
      </c>
      <c r="N56" s="38" t="str">
        <f>IF(COUNTIF($V$4:$V$6,E56)&gt;0,E56,IF(ISBLANK(E56),IF(ISBLANK(E57),T(E56),"ERREUR"),"ERREUR"))</f>
        <v/>
      </c>
      <c r="O56" s="38" t="str">
        <f>IF(COUNTIF($W$4:$W$5,F56)&gt;0,F56,IF(ISBLANK(F56),IF(ISBLANK(F57),T(F56),"ERREUR"),"ERREUR"))</f>
        <v/>
      </c>
      <c r="P56" s="38" t="str">
        <f>IF(COUNTIF($X$4:$X$8,G56)&gt;0,G56,IF(ISBLANK(G56),IF(ISBLANK(G57),T(G56),"ERREUR"),"ERREUR"))</f>
        <v/>
      </c>
      <c r="Q56" s="38" t="str">
        <f>IF(ISNUMBER(H56),IF(INT(H56)=H56,H56,"ERREUR"),IF(ISBLANK(H56),IF(ISBLANK(H57),T(H56),"ERREUR"),"ERREUR"))</f>
        <v/>
      </c>
      <c r="R56" s="38"/>
      <c r="S56" s="1" t="s">
        <v>153</v>
      </c>
      <c r="T56" s="39" t="s">
        <v>154</v>
      </c>
      <c r="U56" s="38" t="str">
        <f>SUBSTITUTE(SUBSTITUTE(SUBSTITUTE(SUBSTITUTE(SUBSTITUTE(SUBSTITUTE(SUBSTITUTE(SUBSTITUTE(UPPER(S56),"Å","A"),"É","E"),"È","E"),"Ê","E"),"Ë","E"),"Î","I"),"Ï","I"),"Ô","O")</f>
        <v xml:space="preserve">COTE D'IVOIRE</v>
      </c>
      <c r="V56" s="38"/>
      <c r="W56" s="38"/>
      <c r="X56" s="53"/>
      <c r="Y56" s="42"/>
      <c r="Z56" s="42"/>
      <c r="AA56" s="42"/>
    </row>
    <row r="57" ht="13.75" customHeight="1">
      <c r="A57" s="14" t="s">
        <v>140</v>
      </c>
      <c r="B57" s="50"/>
      <c r="C57" s="43"/>
      <c r="D57" s="43"/>
      <c r="E57" s="44"/>
      <c r="F57" s="44"/>
      <c r="G57" s="44"/>
      <c r="H57" s="45"/>
      <c r="I57" s="54"/>
      <c r="J57" s="47" t="str">
        <f>IF(OR(K57="ERREUR",L57="ERREUR",M57="ERREUR",N57="ERREUR",O57="ERREUR",P57="ERREUR",Q57="ERREUR"),"ERREUR",IF(AND(K57="",L57="",M57="",N57="",O57="",P57="",Q57=""),"ligne vide",IF(OR(K57="",L57="",M57="",N57="",O57="",P57="",Q57=""),"ligne incomplète","Valide")))</f>
        <v xml:space="preserve">ligne vide</v>
      </c>
      <c r="K57" s="48" t="str">
        <f>IF(ISBLANK(B57),IF(ISBLANK(B58),T(B57),"ERREUR"),IF(ISNUMBER(B57),_xlfn.NUMBERVALUE(B57),IF(ISTEXT(B57),VALUE(B57),"ERREUR")))</f>
        <v/>
      </c>
      <c r="L57" s="38" t="str">
        <f>IF(COUNTIF($R$4:$R$6,C57)&gt;0,C57,IF(ISBLANK(C57),IF(ISBLANK(D57),T(C57),"ERREUR"),"ERREUR"))</f>
        <v/>
      </c>
      <c r="M57" s="49" t="str">
        <f>IF(ISBLANK(D57),IF(ISBLANK(D58),T(D57),"ERREUR"),IF(COUNTIF($T$4:$T$240,SUBSTITUTE(SUBSTITUTE(SUBSTITUTE(SUBSTITUTE(SUBSTITUTE(SUBSTITUTE(UPPER(D57),"Å","A"),"É","E"),"È","E"),"Ê","E"),"Î","I"),"Ï","I"))&gt;0,D57,IF(ISBLANK(D57),T(D57),"ERREUR")))</f>
        <v/>
      </c>
      <c r="N57" s="38" t="str">
        <f>IF(COUNTIF($V$4:$V$6,E57)&gt;0,E57,IF(ISBLANK(E57),IF(ISBLANK(E58),T(E57),"ERREUR"),"ERREUR"))</f>
        <v/>
      </c>
      <c r="O57" s="38" t="str">
        <f>IF(COUNTIF($W$4:$W$5,F57)&gt;0,F57,IF(ISBLANK(F57),IF(ISBLANK(F58),T(F57),"ERREUR"),"ERREUR"))</f>
        <v/>
      </c>
      <c r="P57" s="38" t="str">
        <f>IF(COUNTIF($X$4:$X$8,G57)&gt;0,G57,IF(ISBLANK(G57),IF(ISBLANK(G58),T(G57),"ERREUR"),"ERREUR"))</f>
        <v/>
      </c>
      <c r="Q57" s="38" t="str">
        <f>IF(ISNUMBER(H57),IF(INT(H57)=H57,H57,"ERREUR"),IF(ISBLANK(H57),IF(ISBLANK(H58),T(H57),"ERREUR"),"ERREUR"))</f>
        <v/>
      </c>
      <c r="R57" s="38"/>
      <c r="S57" s="1" t="s">
        <v>155</v>
      </c>
      <c r="T57" s="39" t="s">
        <v>156</v>
      </c>
      <c r="U57" s="38" t="str">
        <f>SUBSTITUTE(SUBSTITUTE(SUBSTITUTE(SUBSTITUTE(SUBSTITUTE(SUBSTITUTE(SUBSTITUTE(SUBSTITUTE(UPPER(S57),"Å","A"),"É","E"),"È","E"),"Ê","E"),"Ë","E"),"Î","I"),"Ï","I"),"Ô","O")</f>
        <v>CROATIE</v>
      </c>
      <c r="V57" s="38"/>
      <c r="W57" s="38"/>
      <c r="X57" s="53"/>
      <c r="Y57" s="42"/>
      <c r="Z57" s="42"/>
      <c r="AA57" s="42"/>
    </row>
    <row r="58" ht="13.75" customHeight="1">
      <c r="A58" s="14" t="s">
        <v>140</v>
      </c>
      <c r="B58" s="50"/>
      <c r="C58" s="43"/>
      <c r="D58" s="43"/>
      <c r="E58" s="44"/>
      <c r="F58" s="44"/>
      <c r="G58" s="44"/>
      <c r="H58" s="45"/>
      <c r="I58" s="54"/>
      <c r="J58" s="47" t="str">
        <f>IF(OR(K58="ERREUR",L58="ERREUR",M58="ERREUR",N58="ERREUR",O58="ERREUR",P58="ERREUR",Q58="ERREUR"),"ERREUR",IF(AND(K58="",L58="",M58="",N58="",O58="",P58="",Q58=""),"ligne vide",IF(OR(K58="",L58="",M58="",N58="",O58="",P58="",Q58=""),"ligne incomplète","Valide")))</f>
        <v xml:space="preserve">ligne vide</v>
      </c>
      <c r="K58" s="48" t="str">
        <f>IF(ISBLANK(B58),IF(ISBLANK(B59),T(B58),"ERREUR"),IF(ISNUMBER(B58),_xlfn.NUMBERVALUE(B58),IF(ISTEXT(B58),VALUE(B58),"ERREUR")))</f>
        <v/>
      </c>
      <c r="L58" s="38" t="str">
        <f>IF(COUNTIF($R$4:$R$6,C58)&gt;0,C58,IF(ISBLANK(C58),IF(ISBLANK(D58),T(C58),"ERREUR"),"ERREUR"))</f>
        <v/>
      </c>
      <c r="M58" s="49" t="str">
        <f>IF(ISBLANK(D58),IF(ISBLANK(D59),T(D58),"ERREUR"),IF(COUNTIF($T$4:$T$240,SUBSTITUTE(SUBSTITUTE(SUBSTITUTE(SUBSTITUTE(SUBSTITUTE(SUBSTITUTE(UPPER(D58),"Å","A"),"É","E"),"È","E"),"Ê","E"),"Î","I"),"Ï","I"))&gt;0,D58,IF(ISBLANK(D58),T(D58),"ERREUR")))</f>
        <v/>
      </c>
      <c r="N58" s="38" t="str">
        <f>IF(COUNTIF($V$4:$V$6,E58)&gt;0,E58,IF(ISBLANK(E58),IF(ISBLANK(E59),T(E58),"ERREUR"),"ERREUR"))</f>
        <v/>
      </c>
      <c r="O58" s="38" t="str">
        <f>IF(COUNTIF($W$4:$W$5,F58)&gt;0,F58,IF(ISBLANK(F58),IF(ISBLANK(F59),T(F58),"ERREUR"),"ERREUR"))</f>
        <v/>
      </c>
      <c r="P58" s="38" t="str">
        <f>IF(COUNTIF($X$4:$X$8,G58)&gt;0,G58,IF(ISBLANK(G58),IF(ISBLANK(G59),T(G58),"ERREUR"),"ERREUR"))</f>
        <v/>
      </c>
      <c r="Q58" s="38" t="str">
        <f>IF(ISNUMBER(H58),IF(INT(H58)=H58,H58,"ERREUR"),IF(ISBLANK(H58),IF(ISBLANK(H59),T(H58),"ERREUR"),"ERREUR"))</f>
        <v/>
      </c>
      <c r="R58" s="38"/>
      <c r="S58" s="1" t="s">
        <v>157</v>
      </c>
      <c r="T58" s="39" t="s">
        <v>158</v>
      </c>
      <c r="U58" s="38" t="str">
        <f>SUBSTITUTE(SUBSTITUTE(SUBSTITUTE(SUBSTITUTE(SUBSTITUTE(SUBSTITUTE(SUBSTITUTE(SUBSTITUTE(UPPER(S58),"Å","A"),"É","E"),"È","E"),"Ê","E"),"Ë","E"),"Î","I"),"Ï","I"),"Ô","O")</f>
        <v>CUBA</v>
      </c>
      <c r="V58" s="38"/>
      <c r="W58" s="38"/>
      <c r="X58" s="53"/>
      <c r="Y58" s="42"/>
      <c r="Z58" s="42"/>
      <c r="AA58" s="42"/>
    </row>
    <row r="59" ht="13.75" customHeight="1">
      <c r="A59" s="14" t="s">
        <v>140</v>
      </c>
      <c r="B59" s="50"/>
      <c r="C59" s="43"/>
      <c r="D59" s="43"/>
      <c r="E59" s="44"/>
      <c r="F59" s="44"/>
      <c r="G59" s="44"/>
      <c r="H59" s="45"/>
      <c r="I59" s="54"/>
      <c r="J59" s="47" t="str">
        <f>IF(OR(K59="ERREUR",L59="ERREUR",M59="ERREUR",N59="ERREUR",O59="ERREUR",P59="ERREUR",Q59="ERREUR"),"ERREUR",IF(AND(K59="",L59="",M59="",N59="",O59="",P59="",Q59=""),"ligne vide",IF(OR(K59="",L59="",M59="",N59="",O59="",P59="",Q59=""),"ligne incomplète","Valide")))</f>
        <v xml:space="preserve">ligne vide</v>
      </c>
      <c r="K59" s="48" t="str">
        <f>IF(ISBLANK(B59),IF(ISBLANK(B60),T(B59),"ERREUR"),IF(ISNUMBER(B59),_xlfn.NUMBERVALUE(B59),IF(ISTEXT(B59),VALUE(B59),"ERREUR")))</f>
        <v/>
      </c>
      <c r="L59" s="38" t="str">
        <f>IF(COUNTIF($R$4:$R$6,C59)&gt;0,C59,IF(ISBLANK(C59),IF(ISBLANK(D59),T(C59),"ERREUR"),"ERREUR"))</f>
        <v/>
      </c>
      <c r="M59" s="49" t="str">
        <f>IF(ISBLANK(D59),IF(ISBLANK(D60),T(D59),"ERREUR"),IF(COUNTIF($T$4:$T$240,SUBSTITUTE(SUBSTITUTE(SUBSTITUTE(SUBSTITUTE(SUBSTITUTE(SUBSTITUTE(UPPER(D59),"Å","A"),"É","E"),"È","E"),"Ê","E"),"Î","I"),"Ï","I"))&gt;0,D59,IF(ISBLANK(D59),T(D59),"ERREUR")))</f>
        <v/>
      </c>
      <c r="N59" s="38" t="str">
        <f>IF(COUNTIF($V$4:$V$6,E59)&gt;0,E59,IF(ISBLANK(E59),IF(ISBLANK(E60),T(E59),"ERREUR"),"ERREUR"))</f>
        <v/>
      </c>
      <c r="O59" s="38" t="str">
        <f>IF(COUNTIF($W$4:$W$5,F59)&gt;0,F59,IF(ISBLANK(F59),IF(ISBLANK(F60),T(F59),"ERREUR"),"ERREUR"))</f>
        <v/>
      </c>
      <c r="P59" s="38" t="str">
        <f>IF(COUNTIF($X$4:$X$8,G59)&gt;0,G59,IF(ISBLANK(G59),IF(ISBLANK(G60),T(G59),"ERREUR"),"ERREUR"))</f>
        <v/>
      </c>
      <c r="Q59" s="38" t="str">
        <f>IF(ISNUMBER(H59),IF(INT(H59)=H59,H59,"ERREUR"),IF(ISBLANK(H59),IF(ISBLANK(H60),T(H59),"ERREUR"),"ERREUR"))</f>
        <v/>
      </c>
      <c r="R59" s="38"/>
      <c r="S59" s="1" t="s">
        <v>159</v>
      </c>
      <c r="T59" s="39" t="s">
        <v>160</v>
      </c>
      <c r="U59" s="38" t="str">
        <f>SUBSTITUTE(SUBSTITUTE(SUBSTITUTE(SUBSTITUTE(SUBSTITUTE(SUBSTITUTE(SUBSTITUTE(SUBSTITUTE(UPPER(S59),"Å","A"),"É","E"),"È","E"),"Ê","E"),"Ë","E"),"Î","I"),"Ï","I"),"Ô","O")</f>
        <v>CURAÇAO</v>
      </c>
      <c r="V59" s="38"/>
      <c r="W59" s="38"/>
      <c r="X59" s="53"/>
      <c r="Y59" s="42"/>
      <c r="Z59" s="42"/>
      <c r="AA59" s="42"/>
    </row>
    <row r="60" ht="13.75" customHeight="1">
      <c r="A60" s="14" t="s">
        <v>140</v>
      </c>
      <c r="B60" s="50"/>
      <c r="C60" s="43"/>
      <c r="D60" s="43"/>
      <c r="E60" s="44"/>
      <c r="F60" s="44"/>
      <c r="G60" s="44"/>
      <c r="H60" s="45"/>
      <c r="I60" s="54"/>
      <c r="J60" s="47" t="str">
        <f>IF(OR(K60="ERREUR",L60="ERREUR",M60="ERREUR",N60="ERREUR",O60="ERREUR",P60="ERREUR",Q60="ERREUR"),"ERREUR",IF(AND(K60="",L60="",M60="",N60="",O60="",P60="",Q60=""),"ligne vide",IF(OR(K60="",L60="",M60="",N60="",O60="",P60="",Q60=""),"ligne incomplète","Valide")))</f>
        <v xml:space="preserve">ligne vide</v>
      </c>
      <c r="K60" s="48" t="str">
        <f>IF(ISBLANK(B60),IF(ISBLANK(B61),T(B60),"ERREUR"),IF(ISNUMBER(B60),_xlfn.NUMBERVALUE(B60),IF(ISTEXT(B60),VALUE(B60),"ERREUR")))</f>
        <v/>
      </c>
      <c r="L60" s="38" t="str">
        <f>IF(COUNTIF($R$4:$R$6,C60)&gt;0,C60,IF(ISBLANK(C60),IF(ISBLANK(D60),T(C60),"ERREUR"),"ERREUR"))</f>
        <v/>
      </c>
      <c r="M60" s="49" t="str">
        <f>IF(ISBLANK(D60),IF(ISBLANK(D61),T(D60),"ERREUR"),IF(COUNTIF($T$4:$T$240,SUBSTITUTE(SUBSTITUTE(SUBSTITUTE(SUBSTITUTE(SUBSTITUTE(SUBSTITUTE(UPPER(D60),"Å","A"),"É","E"),"È","E"),"Ê","E"),"Î","I"),"Ï","I"))&gt;0,D60,IF(ISBLANK(D60),T(D60),"ERREUR")))</f>
        <v/>
      </c>
      <c r="N60" s="38" t="str">
        <f>IF(COUNTIF($V$4:$V$6,E60)&gt;0,E60,IF(ISBLANK(E60),IF(ISBLANK(E61),T(E60),"ERREUR"),"ERREUR"))</f>
        <v/>
      </c>
      <c r="O60" s="38" t="str">
        <f>IF(COUNTIF($W$4:$W$5,F60)&gt;0,F60,IF(ISBLANK(F60),IF(ISBLANK(F61),T(F60),"ERREUR"),"ERREUR"))</f>
        <v/>
      </c>
      <c r="P60" s="38" t="str">
        <f>IF(COUNTIF($X$4:$X$8,G60)&gt;0,G60,IF(ISBLANK(G60),IF(ISBLANK(G61),T(G60),"ERREUR"),"ERREUR"))</f>
        <v/>
      </c>
      <c r="Q60" s="38" t="str">
        <f>IF(ISNUMBER(H60),IF(INT(H60)=H60,H60,"ERREUR"),IF(ISBLANK(H60),IF(ISBLANK(H61),T(H60),"ERREUR"),"ERREUR"))</f>
        <v/>
      </c>
      <c r="R60" s="38"/>
      <c r="S60" s="1" t="s">
        <v>161</v>
      </c>
      <c r="T60" s="39" t="s">
        <v>162</v>
      </c>
      <c r="U60" s="38" t="str">
        <f>SUBSTITUTE(SUBSTITUTE(SUBSTITUTE(SUBSTITUTE(SUBSTITUTE(SUBSTITUTE(SUBSTITUTE(SUBSTITUTE(UPPER(S60),"Å","A"),"É","E"),"È","E"),"Ê","E"),"Ë","E"),"Î","I"),"Ï","I"),"Ô","O")</f>
        <v>DANEMARK</v>
      </c>
      <c r="V60" s="38"/>
      <c r="W60" s="38"/>
      <c r="X60" s="53"/>
      <c r="Y60" s="42"/>
      <c r="Z60" s="42"/>
      <c r="AA60" s="42"/>
    </row>
    <row r="61" ht="13.75" customHeight="1">
      <c r="A61" s="14" t="s">
        <v>140</v>
      </c>
      <c r="B61" s="50"/>
      <c r="C61" s="43"/>
      <c r="D61" s="43"/>
      <c r="E61" s="44"/>
      <c r="F61" s="44"/>
      <c r="G61" s="44"/>
      <c r="H61" s="45"/>
      <c r="I61" s="54"/>
      <c r="J61" s="47" t="str">
        <f>IF(OR(K61="ERREUR",L61="ERREUR",M61="ERREUR",N61="ERREUR",O61="ERREUR",P61="ERREUR",Q61="ERREUR"),"ERREUR",IF(AND(K61="",L61="",M61="",N61="",O61="",P61="",Q61=""),"ligne vide",IF(OR(K61="",L61="",M61="",N61="",O61="",P61="",Q61=""),"ligne incomplète","Valide")))</f>
        <v xml:space="preserve">ligne vide</v>
      </c>
      <c r="K61" s="48" t="str">
        <f>IF(ISBLANK(B61),IF(ISBLANK(B62),T(B61),"ERREUR"),IF(ISNUMBER(B61),_xlfn.NUMBERVALUE(B61),IF(ISTEXT(B61),VALUE(B61),"ERREUR")))</f>
        <v/>
      </c>
      <c r="L61" s="38" t="str">
        <f>IF(COUNTIF($R$4:$R$6,C61)&gt;0,C61,IF(ISBLANK(C61),IF(ISBLANK(D61),T(C61),"ERREUR"),"ERREUR"))</f>
        <v/>
      </c>
      <c r="M61" s="49" t="str">
        <f>IF(ISBLANK(D61),IF(ISBLANK(D62),T(D61),"ERREUR"),IF(COUNTIF($T$4:$T$240,SUBSTITUTE(SUBSTITUTE(SUBSTITUTE(SUBSTITUTE(SUBSTITUTE(SUBSTITUTE(UPPER(D61),"Å","A"),"É","E"),"È","E"),"Ê","E"),"Î","I"),"Ï","I"))&gt;0,D61,IF(ISBLANK(D61),T(D61),"ERREUR")))</f>
        <v/>
      </c>
      <c r="N61" s="38" t="str">
        <f>IF(COUNTIF($V$4:$V$6,E61)&gt;0,E61,IF(ISBLANK(E61),IF(ISBLANK(E62),T(E61),"ERREUR"),"ERREUR"))</f>
        <v/>
      </c>
      <c r="O61" s="38" t="str">
        <f>IF(COUNTIF($W$4:$W$5,F61)&gt;0,F61,IF(ISBLANK(F61),IF(ISBLANK(F62),T(F61),"ERREUR"),"ERREUR"))</f>
        <v/>
      </c>
      <c r="P61" s="38" t="str">
        <f>IF(COUNTIF($X$4:$X$8,G61)&gt;0,G61,IF(ISBLANK(G61),IF(ISBLANK(G62),T(G61),"ERREUR"),"ERREUR"))</f>
        <v/>
      </c>
      <c r="Q61" s="38" t="str">
        <f>IF(ISNUMBER(H61),IF(INT(H61)=H61,H61,"ERREUR"),IF(ISBLANK(H61),IF(ISBLANK(H62),T(H61),"ERREUR"),"ERREUR"))</f>
        <v/>
      </c>
      <c r="R61" s="38"/>
      <c r="S61" s="1" t="s">
        <v>163</v>
      </c>
      <c r="T61" s="39" t="s">
        <v>164</v>
      </c>
      <c r="U61" s="38" t="str">
        <f>SUBSTITUTE(SUBSTITUTE(SUBSTITUTE(SUBSTITUTE(SUBSTITUTE(SUBSTITUTE(SUBSTITUTE(SUBSTITUTE(UPPER(S61),"Å","A"),"É","E"),"È","E"),"Ê","E"),"Ë","E"),"Î","I"),"Ï","I"),"Ô","O")</f>
        <v>DJIBOUTI</v>
      </c>
      <c r="V61" s="38"/>
      <c r="W61" s="38"/>
      <c r="X61" s="53"/>
      <c r="Y61" s="42"/>
      <c r="Z61" s="42"/>
      <c r="AA61" s="42"/>
    </row>
    <row r="62" ht="13.75" customHeight="1">
      <c r="A62" s="14" t="s">
        <v>140</v>
      </c>
      <c r="B62" s="50"/>
      <c r="C62" s="43"/>
      <c r="D62" s="43"/>
      <c r="E62" s="44"/>
      <c r="F62" s="44"/>
      <c r="G62" s="44"/>
      <c r="H62" s="45"/>
      <c r="I62" s="54"/>
      <c r="J62" s="47" t="str">
        <f>IF(OR(K62="ERREUR",L62="ERREUR",M62="ERREUR",N62="ERREUR",O62="ERREUR",P62="ERREUR",Q62="ERREUR"),"ERREUR",IF(AND(K62="",L62="",M62="",N62="",O62="",P62="",Q62=""),"ligne vide",IF(OR(K62="",L62="",M62="",N62="",O62="",P62="",Q62=""),"ligne incomplète","Valide")))</f>
        <v xml:space="preserve">ligne vide</v>
      </c>
      <c r="K62" s="48" t="str">
        <f>IF(ISBLANK(B62),IF(ISBLANK(B63),T(B62),"ERREUR"),IF(ISNUMBER(B62),_xlfn.NUMBERVALUE(B62),IF(ISTEXT(B62),VALUE(B62),"ERREUR")))</f>
        <v/>
      </c>
      <c r="L62" s="38" t="str">
        <f>IF(COUNTIF($R$4:$R$6,C62)&gt;0,C62,IF(ISBLANK(C62),IF(ISBLANK(D62),T(C62),"ERREUR"),"ERREUR"))</f>
        <v/>
      </c>
      <c r="M62" s="49" t="str">
        <f>IF(ISBLANK(D62),IF(ISBLANK(D63),T(D62),"ERREUR"),IF(COUNTIF($T$4:$T$240,SUBSTITUTE(SUBSTITUTE(SUBSTITUTE(SUBSTITUTE(SUBSTITUTE(SUBSTITUTE(UPPER(D62),"Å","A"),"É","E"),"È","E"),"Ê","E"),"Î","I"),"Ï","I"))&gt;0,D62,IF(ISBLANK(D62),T(D62),"ERREUR")))</f>
        <v/>
      </c>
      <c r="N62" s="38" t="str">
        <f>IF(COUNTIF($V$4:$V$6,E62)&gt;0,E62,IF(ISBLANK(E62),IF(ISBLANK(E63),T(E62),"ERREUR"),"ERREUR"))</f>
        <v/>
      </c>
      <c r="O62" s="38" t="str">
        <f>IF(COUNTIF($W$4:$W$5,F62)&gt;0,F62,IF(ISBLANK(F62),IF(ISBLANK(F63),T(F62),"ERREUR"),"ERREUR"))</f>
        <v/>
      </c>
      <c r="P62" s="38" t="str">
        <f>IF(COUNTIF($X$4:$X$8,G62)&gt;0,G62,IF(ISBLANK(G62),IF(ISBLANK(G63),T(G62),"ERREUR"),"ERREUR"))</f>
        <v/>
      </c>
      <c r="Q62" s="38" t="str">
        <f>IF(ISNUMBER(H62),IF(INT(H62)=H62,H62,"ERREUR"),IF(ISBLANK(H62),IF(ISBLANK(H63),T(H62),"ERREUR"),"ERREUR"))</f>
        <v/>
      </c>
      <c r="R62" s="38"/>
      <c r="S62" s="1" t="s">
        <v>165</v>
      </c>
      <c r="T62" s="39" t="s">
        <v>166</v>
      </c>
      <c r="U62" s="38" t="str">
        <f>SUBSTITUTE(SUBSTITUTE(SUBSTITUTE(SUBSTITUTE(SUBSTITUTE(SUBSTITUTE(SUBSTITUTE(SUBSTITUTE(UPPER(S62),"Å","A"),"É","E"),"È","E"),"Ê","E"),"Ë","E"),"Î","I"),"Ï","I"),"Ô","O")</f>
        <v>DOMINIQUE</v>
      </c>
      <c r="V62" s="38"/>
      <c r="W62" s="38"/>
      <c r="X62" s="53"/>
      <c r="Y62" s="42"/>
      <c r="Z62" s="42"/>
      <c r="AA62" s="42"/>
    </row>
    <row r="63" ht="13.75" customHeight="1">
      <c r="A63" s="14" t="s">
        <v>140</v>
      </c>
      <c r="B63" s="50"/>
      <c r="C63" s="43"/>
      <c r="D63" s="43"/>
      <c r="E63" s="44"/>
      <c r="F63" s="44"/>
      <c r="G63" s="44"/>
      <c r="H63" s="45"/>
      <c r="I63" s="54"/>
      <c r="J63" s="47" t="str">
        <f>IF(OR(K63="ERREUR",L63="ERREUR",M63="ERREUR",N63="ERREUR",O63="ERREUR",P63="ERREUR",Q63="ERREUR"),"ERREUR",IF(AND(K63="",L63="",M63="",N63="",O63="",P63="",Q63=""),"ligne vide",IF(OR(K63="",L63="",M63="",N63="",O63="",P63="",Q63=""),"ligne incomplète","Valide")))</f>
        <v xml:space="preserve">ligne vide</v>
      </c>
      <c r="K63" s="48" t="str">
        <f>IF(ISBLANK(B63),IF(ISBLANK(B64),T(B63),"ERREUR"),IF(ISNUMBER(B63),_xlfn.NUMBERVALUE(B63),IF(ISTEXT(B63),VALUE(B63),"ERREUR")))</f>
        <v/>
      </c>
      <c r="L63" s="38" t="str">
        <f>IF(COUNTIF($R$4:$R$6,C63)&gt;0,C63,IF(ISBLANK(C63),IF(ISBLANK(D63),T(C63),"ERREUR"),"ERREUR"))</f>
        <v/>
      </c>
      <c r="M63" s="49" t="str">
        <f>IF(ISBLANK(D63),IF(ISBLANK(D64),T(D63),"ERREUR"),IF(COUNTIF($T$4:$T$240,SUBSTITUTE(SUBSTITUTE(SUBSTITUTE(SUBSTITUTE(SUBSTITUTE(SUBSTITUTE(UPPER(D63),"Å","A"),"É","E"),"È","E"),"Ê","E"),"Î","I"),"Ï","I"))&gt;0,D63,IF(ISBLANK(D63),T(D63),"ERREUR")))</f>
        <v/>
      </c>
      <c r="N63" s="38" t="str">
        <f>IF(COUNTIF($V$4:$V$6,E63)&gt;0,E63,IF(ISBLANK(E63),IF(ISBLANK(E64),T(E63),"ERREUR"),"ERREUR"))</f>
        <v/>
      </c>
      <c r="O63" s="38" t="str">
        <f>IF(COUNTIF($W$4:$W$5,F63)&gt;0,F63,IF(ISBLANK(F63),IF(ISBLANK(F64),T(F63),"ERREUR"),"ERREUR"))</f>
        <v/>
      </c>
      <c r="P63" s="38" t="str">
        <f>IF(COUNTIF($X$4:$X$8,G63)&gt;0,G63,IF(ISBLANK(G63),IF(ISBLANK(G64),T(G63),"ERREUR"),"ERREUR"))</f>
        <v/>
      </c>
      <c r="Q63" s="38" t="str">
        <f>IF(ISNUMBER(H63),IF(INT(H63)=H63,H63,"ERREUR"),IF(ISBLANK(H63),IF(ISBLANK(H64),T(H63),"ERREUR"),"ERREUR"))</f>
        <v/>
      </c>
      <c r="R63" s="38"/>
      <c r="S63" s="1" t="s">
        <v>167</v>
      </c>
      <c r="T63" s="39" t="s">
        <v>168</v>
      </c>
      <c r="U63" s="38" t="str">
        <f>SUBSTITUTE(SUBSTITUTE(SUBSTITUTE(SUBSTITUTE(SUBSTITUTE(SUBSTITUTE(SUBSTITUTE(SUBSTITUTE(UPPER(S63),"Å","A"),"É","E"),"È","E"),"Ê","E"),"Ë","E"),"Î","I"),"Ï","I"),"Ô","O")</f>
        <v>EGYPTE</v>
      </c>
      <c r="V63" s="38"/>
      <c r="W63" s="38"/>
      <c r="X63" s="53"/>
      <c r="Y63" s="42"/>
      <c r="Z63" s="42"/>
      <c r="AA63" s="42"/>
    </row>
    <row r="64" ht="13.75" customHeight="1">
      <c r="A64" s="14" t="s">
        <v>140</v>
      </c>
      <c r="B64" s="50"/>
      <c r="C64" s="43"/>
      <c r="D64" s="43"/>
      <c r="E64" s="44"/>
      <c r="F64" s="44"/>
      <c r="G64" s="44"/>
      <c r="H64" s="45"/>
      <c r="I64" s="54"/>
      <c r="J64" s="47" t="str">
        <f>IF(OR(K64="ERREUR",L64="ERREUR",M64="ERREUR",N64="ERREUR",O64="ERREUR",P64="ERREUR",Q64="ERREUR"),"ERREUR",IF(AND(K64="",L64="",M64="",N64="",O64="",P64="",Q64=""),"ligne vide",IF(OR(K64="",L64="",M64="",N64="",O64="",P64="",Q64=""),"ligne incomplète","Valide")))</f>
        <v xml:space="preserve">ligne vide</v>
      </c>
      <c r="K64" s="48" t="str">
        <f>IF(ISBLANK(B64),IF(ISBLANK(B65),T(B64),"ERREUR"),IF(ISNUMBER(B64),_xlfn.NUMBERVALUE(B64),IF(ISTEXT(B64),VALUE(B64),"ERREUR")))</f>
        <v/>
      </c>
      <c r="L64" s="38" t="str">
        <f>IF(COUNTIF($R$4:$R$6,C64)&gt;0,C64,IF(ISBLANK(C64),IF(ISBLANK(D64),T(C64),"ERREUR"),"ERREUR"))</f>
        <v/>
      </c>
      <c r="M64" s="49" t="str">
        <f>IF(ISBLANK(D64),IF(ISBLANK(D65),T(D64),"ERREUR"),IF(COUNTIF($T$4:$T$240,SUBSTITUTE(SUBSTITUTE(SUBSTITUTE(SUBSTITUTE(SUBSTITUTE(SUBSTITUTE(UPPER(D64),"Å","A"),"É","E"),"È","E"),"Ê","E"),"Î","I"),"Ï","I"))&gt;0,D64,IF(ISBLANK(D64),T(D64),"ERREUR")))</f>
        <v/>
      </c>
      <c r="N64" s="38" t="str">
        <f>IF(COUNTIF($V$4:$V$6,E64)&gt;0,E64,IF(ISBLANK(E64),IF(ISBLANK(E65),T(E64),"ERREUR"),"ERREUR"))</f>
        <v/>
      </c>
      <c r="O64" s="38" t="str">
        <f>IF(COUNTIF($W$4:$W$5,F64)&gt;0,F64,IF(ISBLANK(F64),IF(ISBLANK(F65),T(F64),"ERREUR"),"ERREUR"))</f>
        <v/>
      </c>
      <c r="P64" s="38" t="str">
        <f>IF(COUNTIF($X$4:$X$8,G64)&gt;0,G64,IF(ISBLANK(G64),IF(ISBLANK(G65),T(G64),"ERREUR"),"ERREUR"))</f>
        <v/>
      </c>
      <c r="Q64" s="38" t="str">
        <f>IF(ISNUMBER(H64),IF(INT(H64)=H64,H64,"ERREUR"),IF(ISBLANK(H64),IF(ISBLANK(H65),T(H64),"ERREUR"),"ERREUR"))</f>
        <v/>
      </c>
      <c r="R64" s="38"/>
      <c r="S64" s="1" t="s">
        <v>169</v>
      </c>
      <c r="T64" s="39" t="s">
        <v>170</v>
      </c>
      <c r="U64" s="38" t="str">
        <f>SUBSTITUTE(SUBSTITUTE(SUBSTITUTE(SUBSTITUTE(SUBSTITUTE(SUBSTITUTE(SUBSTITUTE(SUBSTITUTE(UPPER(S64),"Å","A"),"É","E"),"È","E"),"Ê","E"),"Ë","E"),"Î","I"),"Ï","I"),"Ô","O")</f>
        <v xml:space="preserve">EMIRATS ARABES UNIS</v>
      </c>
      <c r="V64" s="38"/>
      <c r="W64" s="38"/>
      <c r="X64" s="53"/>
      <c r="Y64" s="42"/>
      <c r="Z64" s="42"/>
      <c r="AA64" s="42"/>
    </row>
    <row r="65" ht="13.75" customHeight="1">
      <c r="A65" s="14" t="s">
        <v>140</v>
      </c>
      <c r="B65" s="50"/>
      <c r="C65" s="43"/>
      <c r="D65" s="43"/>
      <c r="E65" s="44"/>
      <c r="F65" s="44"/>
      <c r="G65" s="44"/>
      <c r="H65" s="45"/>
      <c r="I65" s="54"/>
      <c r="J65" s="47" t="str">
        <f>IF(OR(K65="ERREUR",L65="ERREUR",M65="ERREUR",N65="ERREUR",O65="ERREUR",P65="ERREUR",Q65="ERREUR"),"ERREUR",IF(AND(K65="",L65="",M65="",N65="",O65="",P65="",Q65=""),"ligne vide",IF(OR(K65="",L65="",M65="",N65="",O65="",P65="",Q65=""),"ligne incomplète","Valide")))</f>
        <v xml:space="preserve">ligne vide</v>
      </c>
      <c r="K65" s="48" t="str">
        <f>IF(ISBLANK(B65),IF(ISBLANK(B66),T(B65),"ERREUR"),IF(ISNUMBER(B65),_xlfn.NUMBERVALUE(B65),IF(ISTEXT(B65),VALUE(B65),"ERREUR")))</f>
        <v/>
      </c>
      <c r="L65" s="38" t="str">
        <f>IF(COUNTIF($R$4:$R$6,C65)&gt;0,C65,IF(ISBLANK(C65),IF(ISBLANK(D65),T(C65),"ERREUR"),"ERREUR"))</f>
        <v/>
      </c>
      <c r="M65" s="49" t="str">
        <f>IF(ISBLANK(D65),IF(ISBLANK(D66),T(D65),"ERREUR"),IF(COUNTIF($T$4:$T$240,SUBSTITUTE(SUBSTITUTE(SUBSTITUTE(SUBSTITUTE(SUBSTITUTE(SUBSTITUTE(UPPER(D65),"Å","A"),"É","E"),"È","E"),"Ê","E"),"Î","I"),"Ï","I"))&gt;0,D65,IF(ISBLANK(D65),T(D65),"ERREUR")))</f>
        <v/>
      </c>
      <c r="N65" s="38" t="str">
        <f>IF(COUNTIF($V$4:$V$6,E65)&gt;0,E65,IF(ISBLANK(E65),IF(ISBLANK(E66),T(E65),"ERREUR"),"ERREUR"))</f>
        <v/>
      </c>
      <c r="O65" s="38" t="str">
        <f>IF(COUNTIF($W$4:$W$5,F65)&gt;0,F65,IF(ISBLANK(F65),IF(ISBLANK(F66),T(F65),"ERREUR"),"ERREUR"))</f>
        <v/>
      </c>
      <c r="P65" s="38" t="str">
        <f>IF(COUNTIF($X$4:$X$8,G65)&gt;0,G65,IF(ISBLANK(G65),IF(ISBLANK(G66),T(G65),"ERREUR"),"ERREUR"))</f>
        <v/>
      </c>
      <c r="Q65" s="38" t="str">
        <f>IF(ISNUMBER(H65),IF(INT(H65)=H65,H65,"ERREUR"),IF(ISBLANK(H65),IF(ISBLANK(H66),T(H65),"ERREUR"),"ERREUR"))</f>
        <v/>
      </c>
      <c r="R65" s="38"/>
      <c r="S65" s="1" t="s">
        <v>171</v>
      </c>
      <c r="T65" s="39" t="s">
        <v>172</v>
      </c>
      <c r="U65" s="38" t="str">
        <f>SUBSTITUTE(SUBSTITUTE(SUBSTITUTE(SUBSTITUTE(SUBSTITUTE(SUBSTITUTE(SUBSTITUTE(SUBSTITUTE(UPPER(S65),"Å","A"),"É","E"),"È","E"),"Ê","E"),"Ë","E"),"Î","I"),"Ï","I"),"Ô","O")</f>
        <v>EQUATEUR</v>
      </c>
      <c r="V65" s="38"/>
      <c r="W65" s="38"/>
      <c r="X65" s="53"/>
      <c r="Y65" s="42"/>
      <c r="Z65" s="42"/>
      <c r="AA65" s="42"/>
    </row>
    <row r="66" ht="13.75" customHeight="1">
      <c r="A66" s="14" t="s">
        <v>140</v>
      </c>
      <c r="B66" s="50"/>
      <c r="C66" s="43"/>
      <c r="D66" s="43"/>
      <c r="E66" s="44"/>
      <c r="F66" s="44"/>
      <c r="G66" s="44"/>
      <c r="H66" s="45"/>
      <c r="I66" s="54"/>
      <c r="J66" s="47" t="str">
        <f>IF(OR(K66="ERREUR",L66="ERREUR",M66="ERREUR",N66="ERREUR",O66="ERREUR",P66="ERREUR",Q66="ERREUR"),"ERREUR",IF(AND(K66="",L66="",M66="",N66="",O66="",P66="",Q66=""),"ligne vide",IF(OR(K66="",L66="",M66="",N66="",O66="",P66="",Q66=""),"ligne incomplète","Valide")))</f>
        <v xml:space="preserve">ligne vide</v>
      </c>
      <c r="K66" s="48" t="str">
        <f>IF(ISBLANK(B66),IF(ISBLANK(B67),T(B66),"ERREUR"),IF(ISNUMBER(B66),_xlfn.NUMBERVALUE(B66),IF(ISTEXT(B66),VALUE(B66),"ERREUR")))</f>
        <v/>
      </c>
      <c r="L66" s="38" t="str">
        <f>IF(COUNTIF($R$4:$R$6,C66)&gt;0,C66,IF(ISBLANK(C66),IF(ISBLANK(D66),T(C66),"ERREUR"),"ERREUR"))</f>
        <v/>
      </c>
      <c r="M66" s="49" t="str">
        <f>IF(ISBLANK(D66),IF(ISBLANK(D67),T(D66),"ERREUR"),IF(COUNTIF($T$4:$T$240,SUBSTITUTE(SUBSTITUTE(SUBSTITUTE(SUBSTITUTE(SUBSTITUTE(SUBSTITUTE(UPPER(D66),"Å","A"),"É","E"),"È","E"),"Ê","E"),"Î","I"),"Ï","I"))&gt;0,D66,IF(ISBLANK(D66),T(D66),"ERREUR")))</f>
        <v/>
      </c>
      <c r="N66" s="38" t="str">
        <f>IF(COUNTIF($V$4:$V$6,E66)&gt;0,E66,IF(ISBLANK(E66),IF(ISBLANK(E67),T(E66),"ERREUR"),"ERREUR"))</f>
        <v/>
      </c>
      <c r="O66" s="38" t="str">
        <f>IF(COUNTIF($W$4:$W$5,F66)&gt;0,F66,IF(ISBLANK(F66),IF(ISBLANK(F67),T(F66),"ERREUR"),"ERREUR"))</f>
        <v/>
      </c>
      <c r="P66" s="38" t="str">
        <f>IF(COUNTIF($X$4:$X$8,G66)&gt;0,G66,IF(ISBLANK(G66),IF(ISBLANK(G67),T(G66),"ERREUR"),"ERREUR"))</f>
        <v/>
      </c>
      <c r="Q66" s="38" t="str">
        <f>IF(ISNUMBER(H66),IF(INT(H66)=H66,H66,"ERREUR"),IF(ISBLANK(H66),IF(ISBLANK(H67),T(H66),"ERREUR"),"ERREUR"))</f>
        <v/>
      </c>
      <c r="R66" s="38"/>
      <c r="S66" s="1" t="s">
        <v>173</v>
      </c>
      <c r="T66" s="39" t="s">
        <v>174</v>
      </c>
      <c r="U66" s="38" t="str">
        <f>SUBSTITUTE(SUBSTITUTE(SUBSTITUTE(SUBSTITUTE(SUBSTITUTE(SUBSTITUTE(SUBSTITUTE(SUBSTITUTE(UPPER(S66),"Å","A"),"É","E"),"È","E"),"Ê","E"),"Ë","E"),"Î","I"),"Ï","I"),"Ô","O")</f>
        <v>ERYTHREE</v>
      </c>
      <c r="V66" s="38"/>
      <c r="W66" s="38"/>
      <c r="X66" s="53"/>
      <c r="Y66" s="42"/>
      <c r="Z66" s="42"/>
      <c r="AA66" s="42"/>
    </row>
    <row r="67" ht="13.75" customHeight="1">
      <c r="A67" s="14" t="s">
        <v>140</v>
      </c>
      <c r="B67" s="50"/>
      <c r="C67" s="43"/>
      <c r="D67" s="43"/>
      <c r="E67" s="44"/>
      <c r="F67" s="44"/>
      <c r="G67" s="44"/>
      <c r="H67" s="45"/>
      <c r="I67" s="54"/>
      <c r="J67" s="47" t="str">
        <f>IF(OR(K67="ERREUR",L67="ERREUR",M67="ERREUR",N67="ERREUR",O67="ERREUR",P67="ERREUR",Q67="ERREUR"),"ERREUR",IF(AND(K67="",L67="",M67="",N67="",O67="",P67="",Q67=""),"ligne vide",IF(OR(K67="",L67="",M67="",N67="",O67="",P67="",Q67=""),"ligne incomplète","Valide")))</f>
        <v xml:space="preserve">ligne vide</v>
      </c>
      <c r="K67" s="48" t="str">
        <f>IF(ISBLANK(B67),IF(ISBLANK(B68),T(B67),"ERREUR"),IF(ISNUMBER(B67),_xlfn.NUMBERVALUE(B67),IF(ISTEXT(B67),VALUE(B67),"ERREUR")))</f>
        <v/>
      </c>
      <c r="L67" s="38" t="str">
        <f>IF(COUNTIF($R$4:$R$6,C67)&gt;0,C67,IF(ISBLANK(C67),IF(ISBLANK(D67),T(C67),"ERREUR"),"ERREUR"))</f>
        <v/>
      </c>
      <c r="M67" s="49" t="str">
        <f>IF(ISBLANK(D67),IF(ISBLANK(D68),T(D67),"ERREUR"),IF(COUNTIF($T$4:$T$240,SUBSTITUTE(SUBSTITUTE(SUBSTITUTE(SUBSTITUTE(SUBSTITUTE(SUBSTITUTE(UPPER(D67),"Å","A"),"É","E"),"È","E"),"Ê","E"),"Î","I"),"Ï","I"))&gt;0,D67,IF(ISBLANK(D67),T(D67),"ERREUR")))</f>
        <v/>
      </c>
      <c r="N67" s="38" t="str">
        <f>IF(COUNTIF($V$4:$V$6,E67)&gt;0,E67,IF(ISBLANK(E67),IF(ISBLANK(E68),T(E67),"ERREUR"),"ERREUR"))</f>
        <v/>
      </c>
      <c r="O67" s="38" t="str">
        <f>IF(COUNTIF($W$4:$W$5,F67)&gt;0,F67,IF(ISBLANK(F67),IF(ISBLANK(F68),T(F67),"ERREUR"),"ERREUR"))</f>
        <v/>
      </c>
      <c r="P67" s="38" t="str">
        <f>IF(COUNTIF($X$4:$X$8,G67)&gt;0,G67,IF(ISBLANK(G67),IF(ISBLANK(G68),T(G67),"ERREUR"),"ERREUR"))</f>
        <v/>
      </c>
      <c r="Q67" s="38" t="str">
        <f>IF(ISNUMBER(H67),IF(INT(H67)=H67,H67,"ERREUR"),IF(ISBLANK(H67),IF(ISBLANK(H68),T(H67),"ERREUR"),"ERREUR"))</f>
        <v/>
      </c>
      <c r="R67" s="38"/>
      <c r="S67" s="1" t="s">
        <v>175</v>
      </c>
      <c r="T67" s="39" t="s">
        <v>176</v>
      </c>
      <c r="U67" s="38" t="str">
        <f>SUBSTITUTE(SUBSTITUTE(SUBSTITUTE(SUBSTITUTE(SUBSTITUTE(SUBSTITUTE(SUBSTITUTE(SUBSTITUTE(UPPER(S67),"Å","A"),"É","E"),"È","E"),"Ê","E"),"Ë","E"),"Î","I"),"Ï","I"),"Ô","O")</f>
        <v>ESPAGNE</v>
      </c>
      <c r="V67" s="38"/>
      <c r="W67" s="38"/>
      <c r="X67" s="53"/>
      <c r="Y67" s="42"/>
      <c r="Z67" s="42"/>
      <c r="AA67" s="42"/>
    </row>
    <row r="68" ht="13.75" customHeight="1">
      <c r="A68" s="14" t="s">
        <v>140</v>
      </c>
      <c r="B68" s="50"/>
      <c r="C68" s="43"/>
      <c r="D68" s="43"/>
      <c r="E68" s="44"/>
      <c r="F68" s="44"/>
      <c r="G68" s="44"/>
      <c r="H68" s="45"/>
      <c r="I68" s="54"/>
      <c r="J68" s="47" t="str">
        <f>IF(OR(K68="ERREUR",L68="ERREUR",M68="ERREUR",N68="ERREUR",O68="ERREUR",P68="ERREUR",Q68="ERREUR"),"ERREUR",IF(AND(K68="",L68="",M68="",N68="",O68="",P68="",Q68=""),"ligne vide",IF(OR(K68="",L68="",M68="",N68="",O68="",P68="",Q68=""),"ligne incomplète","Valide")))</f>
        <v xml:space="preserve">ligne vide</v>
      </c>
      <c r="K68" s="48" t="str">
        <f>IF(ISBLANK(B68),IF(ISBLANK(B69),T(B68),"ERREUR"),IF(ISNUMBER(B68),_xlfn.NUMBERVALUE(B68),IF(ISTEXT(B68),VALUE(B68),"ERREUR")))</f>
        <v/>
      </c>
      <c r="L68" s="38" t="str">
        <f>IF(COUNTIF($R$4:$R$6,C68)&gt;0,C68,IF(ISBLANK(C68),IF(ISBLANK(D68),T(C68),"ERREUR"),"ERREUR"))</f>
        <v/>
      </c>
      <c r="M68" s="49" t="str">
        <f>IF(ISBLANK(D68),IF(ISBLANK(D69),T(D68),"ERREUR"),IF(COUNTIF($T$4:$T$240,SUBSTITUTE(SUBSTITUTE(SUBSTITUTE(SUBSTITUTE(SUBSTITUTE(SUBSTITUTE(UPPER(D68),"Å","A"),"É","E"),"È","E"),"Ê","E"),"Î","I"),"Ï","I"))&gt;0,D68,IF(ISBLANK(D68),T(D68),"ERREUR")))</f>
        <v/>
      </c>
      <c r="N68" s="38" t="str">
        <f>IF(COUNTIF($V$4:$V$6,E68)&gt;0,E68,IF(ISBLANK(E68),IF(ISBLANK(E69),T(E68),"ERREUR"),"ERREUR"))</f>
        <v/>
      </c>
      <c r="O68" s="38" t="str">
        <f>IF(COUNTIF($W$4:$W$5,F68)&gt;0,F68,IF(ISBLANK(F68),IF(ISBLANK(F69),T(F68),"ERREUR"),"ERREUR"))</f>
        <v/>
      </c>
      <c r="P68" s="38" t="str">
        <f>IF(COUNTIF($X$4:$X$8,G68)&gt;0,G68,IF(ISBLANK(G68),IF(ISBLANK(G69),T(G68),"ERREUR"),"ERREUR"))</f>
        <v/>
      </c>
      <c r="Q68" s="38" t="str">
        <f>IF(ISNUMBER(H68),IF(INT(H68)=H68,H68,"ERREUR"),IF(ISBLANK(H68),IF(ISBLANK(H69),T(H68),"ERREUR"),"ERREUR"))</f>
        <v/>
      </c>
      <c r="R68" s="38"/>
      <c r="S68" s="1" t="s">
        <v>177</v>
      </c>
      <c r="T68" s="39" t="s">
        <v>178</v>
      </c>
      <c r="U68" s="38" t="str">
        <f>SUBSTITUTE(SUBSTITUTE(SUBSTITUTE(SUBSTITUTE(SUBSTITUTE(SUBSTITUTE(SUBSTITUTE(SUBSTITUTE(UPPER(S68),"Å","A"),"É","E"),"È","E"),"Ê","E"),"Ë","E"),"Î","I"),"Ï","I"),"Ô","O")</f>
        <v>ESTONIE</v>
      </c>
      <c r="V68" s="38"/>
      <c r="W68" s="38"/>
      <c r="X68" s="53"/>
      <c r="Y68" s="42"/>
      <c r="Z68" s="42"/>
      <c r="AA68" s="42"/>
    </row>
    <row r="69" ht="13.75" customHeight="1">
      <c r="A69" s="14" t="s">
        <v>140</v>
      </c>
      <c r="B69" s="50"/>
      <c r="C69" s="43"/>
      <c r="D69" s="43"/>
      <c r="E69" s="44"/>
      <c r="F69" s="44"/>
      <c r="G69" s="44"/>
      <c r="H69" s="45"/>
      <c r="I69" s="54"/>
      <c r="J69" s="47" t="str">
        <f>IF(OR(K69="ERREUR",L69="ERREUR",M69="ERREUR",N69="ERREUR",O69="ERREUR",P69="ERREUR",Q69="ERREUR"),"ERREUR",IF(AND(K69="",L69="",M69="",N69="",O69="",P69="",Q69=""),"ligne vide",IF(OR(K69="",L69="",M69="",N69="",O69="",P69="",Q69=""),"ligne incomplète","Valide")))</f>
        <v xml:space="preserve">ligne vide</v>
      </c>
      <c r="K69" s="48" t="str">
        <f>IF(ISBLANK(B69),IF(ISBLANK(B70),T(B69),"ERREUR"),IF(ISNUMBER(B69),_xlfn.NUMBERVALUE(B69),IF(ISTEXT(B69),VALUE(B69),"ERREUR")))</f>
        <v/>
      </c>
      <c r="L69" s="38" t="str">
        <f>IF(COUNTIF($R$4:$R$6,C69)&gt;0,C69,IF(ISBLANK(C69),IF(ISBLANK(D69),T(C69),"ERREUR"),"ERREUR"))</f>
        <v/>
      </c>
      <c r="M69" s="49" t="str">
        <f>IF(ISBLANK(D69),IF(ISBLANK(D70),T(D69),"ERREUR"),IF(COUNTIF($T$4:$T$240,SUBSTITUTE(SUBSTITUTE(SUBSTITUTE(SUBSTITUTE(SUBSTITUTE(SUBSTITUTE(UPPER(D69),"Å","A"),"É","E"),"È","E"),"Ê","E"),"Î","I"),"Ï","I"))&gt;0,D69,IF(ISBLANK(D69),T(D69),"ERREUR")))</f>
        <v/>
      </c>
      <c r="N69" s="38" t="str">
        <f>IF(COUNTIF($V$4:$V$6,E69)&gt;0,E69,IF(ISBLANK(E69),IF(ISBLANK(E70),T(E69),"ERREUR"),"ERREUR"))</f>
        <v/>
      </c>
      <c r="O69" s="38" t="str">
        <f>IF(COUNTIF($W$4:$W$5,F69)&gt;0,F69,IF(ISBLANK(F69),IF(ISBLANK(F70),T(F69),"ERREUR"),"ERREUR"))</f>
        <v/>
      </c>
      <c r="P69" s="38" t="str">
        <f>IF(COUNTIF($X$4:$X$8,G69)&gt;0,G69,IF(ISBLANK(G69),IF(ISBLANK(G70),T(G69),"ERREUR"),"ERREUR"))</f>
        <v/>
      </c>
      <c r="Q69" s="38" t="str">
        <f>IF(ISNUMBER(H69),IF(INT(H69)=H69,H69,"ERREUR"),IF(ISBLANK(H69),IF(ISBLANK(H70),T(H69),"ERREUR"),"ERREUR"))</f>
        <v/>
      </c>
      <c r="R69" s="38"/>
      <c r="S69" s="1" t="s">
        <v>179</v>
      </c>
      <c r="T69" s="39" t="s">
        <v>180</v>
      </c>
      <c r="U69" s="38" t="str">
        <f>SUBSTITUTE(SUBSTITUTE(SUBSTITUTE(SUBSTITUTE(SUBSTITUTE(SUBSTITUTE(SUBSTITUTE(SUBSTITUTE(UPPER(S69),"Å","A"),"É","E"),"È","E"),"Ê","E"),"Ë","E"),"Î","I"),"Ï","I"),"Ô","O")</f>
        <v>ESWATINI</v>
      </c>
      <c r="V69" s="38"/>
      <c r="W69" s="38"/>
      <c r="X69" s="53"/>
      <c r="Y69" s="42"/>
      <c r="Z69" s="42"/>
      <c r="AA69" s="42"/>
    </row>
    <row r="70" ht="13.75" customHeight="1">
      <c r="A70" s="14" t="s">
        <v>140</v>
      </c>
      <c r="B70" s="50"/>
      <c r="C70" s="43"/>
      <c r="D70" s="43"/>
      <c r="E70" s="44"/>
      <c r="F70" s="44"/>
      <c r="G70" s="44"/>
      <c r="H70" s="45"/>
      <c r="I70" s="54"/>
      <c r="J70" s="47" t="str">
        <f>IF(OR(K70="ERREUR",L70="ERREUR",M70="ERREUR",N70="ERREUR",O70="ERREUR",P70="ERREUR",Q70="ERREUR"),"ERREUR",IF(AND(K70="",L70="",M70="",N70="",O70="",P70="",Q70=""),"ligne vide",IF(OR(K70="",L70="",M70="",N70="",O70="",P70="",Q70=""),"ligne incomplète","Valide")))</f>
        <v xml:space="preserve">ligne vide</v>
      </c>
      <c r="K70" s="48" t="str">
        <f>IF(ISBLANK(B70),IF(ISBLANK(B71),T(B70),"ERREUR"),IF(ISNUMBER(B70),_xlfn.NUMBERVALUE(B70),IF(ISTEXT(B70),VALUE(B70),"ERREUR")))</f>
        <v/>
      </c>
      <c r="L70" s="38" t="str">
        <f>IF(COUNTIF($R$4:$R$6,C70)&gt;0,C70,IF(ISBLANK(C70),IF(ISBLANK(D70),T(C70),"ERREUR"),"ERREUR"))</f>
        <v/>
      </c>
      <c r="M70" s="49" t="str">
        <f>IF(ISBLANK(D70),IF(ISBLANK(D71),T(D70),"ERREUR"),IF(COUNTIF($T$4:$T$240,SUBSTITUTE(SUBSTITUTE(SUBSTITUTE(SUBSTITUTE(SUBSTITUTE(SUBSTITUTE(UPPER(D70),"Å","A"),"É","E"),"È","E"),"Ê","E"),"Î","I"),"Ï","I"))&gt;0,D70,IF(ISBLANK(D70),T(D70),"ERREUR")))</f>
        <v/>
      </c>
      <c r="N70" s="38" t="str">
        <f>IF(COUNTIF($V$4:$V$6,E70)&gt;0,E70,IF(ISBLANK(E70),IF(ISBLANK(E71),T(E70),"ERREUR"),"ERREUR"))</f>
        <v/>
      </c>
      <c r="O70" s="38" t="str">
        <f>IF(COUNTIF($W$4:$W$5,F70)&gt;0,F70,IF(ISBLANK(F70),IF(ISBLANK(F71),T(F70),"ERREUR"),"ERREUR"))</f>
        <v/>
      </c>
      <c r="P70" s="38" t="str">
        <f>IF(COUNTIF($X$4:$X$8,G70)&gt;0,G70,IF(ISBLANK(G70),IF(ISBLANK(G71),T(G70),"ERREUR"),"ERREUR"))</f>
        <v/>
      </c>
      <c r="Q70" s="38" t="str">
        <f>IF(ISNUMBER(H70),IF(INT(H70)=H70,H70,"ERREUR"),IF(ISBLANK(H70),IF(ISBLANK(H71),T(H70),"ERREUR"),"ERREUR"))</f>
        <v/>
      </c>
      <c r="R70" s="38"/>
      <c r="S70" s="1" t="s">
        <v>181</v>
      </c>
      <c r="T70" s="39" t="s">
        <v>182</v>
      </c>
      <c r="U70" s="38" t="str">
        <f>SUBSTITUTE(SUBSTITUTE(SUBSTITUTE(SUBSTITUTE(SUBSTITUTE(SUBSTITUTE(SUBSTITUTE(SUBSTITUTE(UPPER(S70),"Å","A"),"É","E"),"È","E"),"Ê","E"),"Ë","E"),"Î","I"),"Ï","I"),"Ô","O")</f>
        <v>ETATS-UNIS</v>
      </c>
      <c r="V70" s="38"/>
      <c r="W70" s="38"/>
      <c r="X70" s="53"/>
      <c r="Y70" s="42"/>
      <c r="Z70" s="42"/>
      <c r="AA70" s="42"/>
    </row>
    <row r="71" ht="13.75" customHeight="1">
      <c r="A71" s="14" t="s">
        <v>140</v>
      </c>
      <c r="B71" s="50"/>
      <c r="C71" s="43"/>
      <c r="D71" s="43"/>
      <c r="E71" s="44"/>
      <c r="F71" s="44"/>
      <c r="G71" s="44"/>
      <c r="H71" s="45"/>
      <c r="I71" s="54"/>
      <c r="J71" s="47" t="str">
        <f>IF(OR(K71="ERREUR",L71="ERREUR",M71="ERREUR",N71="ERREUR",O71="ERREUR",P71="ERREUR",Q71="ERREUR"),"ERREUR",IF(AND(K71="",L71="",M71="",N71="",O71="",P71="",Q71=""),"ligne vide",IF(OR(K71="",L71="",M71="",N71="",O71="",P71="",Q71=""),"ligne incomplète","Valide")))</f>
        <v xml:space="preserve">ligne vide</v>
      </c>
      <c r="K71" s="48" t="str">
        <f>IF(ISBLANK(B71),IF(ISBLANK(B72),T(B71),"ERREUR"),IF(ISNUMBER(B71),_xlfn.NUMBERVALUE(B71),IF(ISTEXT(B71),VALUE(B71),"ERREUR")))</f>
        <v/>
      </c>
      <c r="L71" s="38" t="str">
        <f>IF(COUNTIF($R$4:$R$6,C71)&gt;0,C71,IF(ISBLANK(C71),IF(ISBLANK(D71),T(C71),"ERREUR"),"ERREUR"))</f>
        <v/>
      </c>
      <c r="M71" s="49" t="str">
        <f>IF(ISBLANK(D71),IF(ISBLANK(D72),T(D71),"ERREUR"),IF(COUNTIF($T$4:$T$240,SUBSTITUTE(SUBSTITUTE(SUBSTITUTE(SUBSTITUTE(SUBSTITUTE(SUBSTITUTE(UPPER(D71),"Å","A"),"É","E"),"È","E"),"Ê","E"),"Î","I"),"Ï","I"))&gt;0,D71,IF(ISBLANK(D71),T(D71),"ERREUR")))</f>
        <v/>
      </c>
      <c r="N71" s="38" t="str">
        <f>IF(COUNTIF($V$4:$V$6,E71)&gt;0,E71,IF(ISBLANK(E71),IF(ISBLANK(E72),T(E71),"ERREUR"),"ERREUR"))</f>
        <v/>
      </c>
      <c r="O71" s="38" t="str">
        <f>IF(COUNTIF($W$4:$W$5,F71)&gt;0,F71,IF(ISBLANK(F71),IF(ISBLANK(F72),T(F71),"ERREUR"),"ERREUR"))</f>
        <v/>
      </c>
      <c r="P71" s="38" t="str">
        <f>IF(COUNTIF($X$4:$X$8,G71)&gt;0,G71,IF(ISBLANK(G71),IF(ISBLANK(G72),T(G71),"ERREUR"),"ERREUR"))</f>
        <v/>
      </c>
      <c r="Q71" s="38" t="str">
        <f>IF(ISNUMBER(H71),IF(INT(H71)=H71,H71,"ERREUR"),IF(ISBLANK(H71),IF(ISBLANK(H72),T(H71),"ERREUR"),"ERREUR"))</f>
        <v/>
      </c>
      <c r="R71" s="38"/>
      <c r="S71" s="1" t="s">
        <v>183</v>
      </c>
      <c r="T71" s="39" t="s">
        <v>184</v>
      </c>
      <c r="U71" s="38" t="str">
        <f>SUBSTITUTE(SUBSTITUTE(SUBSTITUTE(SUBSTITUTE(SUBSTITUTE(SUBSTITUTE(SUBSTITUTE(SUBSTITUTE(UPPER(S71),"Å","A"),"É","E"),"È","E"),"Ê","E"),"Ë","E"),"Î","I"),"Ï","I"),"Ô","O")</f>
        <v>ETHIOPIE</v>
      </c>
      <c r="V71" s="38"/>
      <c r="W71" s="38"/>
      <c r="X71" s="53"/>
      <c r="Y71" s="42"/>
      <c r="Z71" s="42"/>
      <c r="AA71" s="42"/>
    </row>
    <row r="72" ht="13.75" customHeight="1">
      <c r="A72" s="14" t="s">
        <v>140</v>
      </c>
      <c r="B72" s="50"/>
      <c r="C72" s="43"/>
      <c r="D72" s="43"/>
      <c r="E72" s="44"/>
      <c r="F72" s="44"/>
      <c r="G72" s="44"/>
      <c r="H72" s="45"/>
      <c r="I72" s="54"/>
      <c r="J72" s="47" t="str">
        <f>IF(OR(K72="ERREUR",L72="ERREUR",M72="ERREUR",N72="ERREUR",O72="ERREUR",P72="ERREUR",Q72="ERREUR"),"ERREUR",IF(AND(K72="",L72="",M72="",N72="",O72="",P72="",Q72=""),"ligne vide",IF(OR(K72="",L72="",M72="",N72="",O72="",P72="",Q72=""),"ligne incomplète","Valide")))</f>
        <v xml:space="preserve">ligne vide</v>
      </c>
      <c r="K72" s="48" t="str">
        <f>IF(ISBLANK(B72),IF(ISBLANK(B73),T(B72),"ERREUR"),IF(ISNUMBER(B72),_xlfn.NUMBERVALUE(B72),IF(ISTEXT(B72),VALUE(B72),"ERREUR")))</f>
        <v/>
      </c>
      <c r="L72" s="38" t="str">
        <f>IF(COUNTIF($R$4:$R$6,C72)&gt;0,C72,IF(ISBLANK(C72),IF(ISBLANK(D72),T(C72),"ERREUR"),"ERREUR"))</f>
        <v/>
      </c>
      <c r="M72" s="49" t="str">
        <f>IF(ISBLANK(D72),IF(ISBLANK(D73),T(D72),"ERREUR"),IF(COUNTIF($T$4:$T$240,SUBSTITUTE(SUBSTITUTE(SUBSTITUTE(SUBSTITUTE(SUBSTITUTE(SUBSTITUTE(UPPER(D72),"Å","A"),"É","E"),"È","E"),"Ê","E"),"Î","I"),"Ï","I"))&gt;0,D72,IF(ISBLANK(D72),T(D72),"ERREUR")))</f>
        <v/>
      </c>
      <c r="N72" s="38" t="str">
        <f>IF(COUNTIF($V$4:$V$6,E72)&gt;0,E72,IF(ISBLANK(E72),IF(ISBLANK(E73),T(E72),"ERREUR"),"ERREUR"))</f>
        <v/>
      </c>
      <c r="O72" s="38" t="str">
        <f>IF(COUNTIF($W$4:$W$5,F72)&gt;0,F72,IF(ISBLANK(F72),IF(ISBLANK(F73),T(F72),"ERREUR"),"ERREUR"))</f>
        <v/>
      </c>
      <c r="P72" s="38" t="str">
        <f>IF(COUNTIF($X$4:$X$8,G72)&gt;0,G72,IF(ISBLANK(G72),IF(ISBLANK(G73),T(G72),"ERREUR"),"ERREUR"))</f>
        <v/>
      </c>
      <c r="Q72" s="38" t="str">
        <f>IF(ISNUMBER(H72),IF(INT(H72)=H72,H72,"ERREUR"),IF(ISBLANK(H72),IF(ISBLANK(H73),T(H72),"ERREUR"),"ERREUR"))</f>
        <v/>
      </c>
      <c r="R72" s="38"/>
      <c r="S72" s="1" t="s">
        <v>185</v>
      </c>
      <c r="T72" s="39" t="s">
        <v>186</v>
      </c>
      <c r="U72" s="38" t="str">
        <f>SUBSTITUTE(SUBSTITUTE(SUBSTITUTE(SUBSTITUTE(SUBSTITUTE(SUBSTITUTE(SUBSTITUTE(SUBSTITUTE(UPPER(S72),"Å","A"),"É","E"),"È","E"),"Ê","E"),"Ë","E"),"Î","I"),"Ï","I"),"Ô","O")</f>
        <v>FIDJI</v>
      </c>
      <c r="V72" s="38"/>
      <c r="W72" s="38"/>
      <c r="X72" s="53"/>
      <c r="Y72" s="42"/>
      <c r="Z72" s="42"/>
      <c r="AA72" s="42"/>
    </row>
    <row r="73" ht="13.75" customHeight="1">
      <c r="A73" s="14" t="s">
        <v>140</v>
      </c>
      <c r="B73" s="50"/>
      <c r="C73" s="43"/>
      <c r="D73" s="43"/>
      <c r="E73" s="44"/>
      <c r="F73" s="44"/>
      <c r="G73" s="44"/>
      <c r="H73" s="45"/>
      <c r="I73" s="54"/>
      <c r="J73" s="47" t="str">
        <f>IF(OR(K73="ERREUR",L73="ERREUR",M73="ERREUR",N73="ERREUR",O73="ERREUR",P73="ERREUR",Q73="ERREUR"),"ERREUR",IF(AND(K73="",L73="",M73="",N73="",O73="",P73="",Q73=""),"ligne vide",IF(OR(K73="",L73="",M73="",N73="",O73="",P73="",Q73=""),"ligne incomplète","Valide")))</f>
        <v xml:space="preserve">ligne vide</v>
      </c>
      <c r="K73" s="48" t="str">
        <f>IF(ISBLANK(B73),IF(ISBLANK(B74),T(B73),"ERREUR"),IF(ISNUMBER(B73),_xlfn.NUMBERVALUE(B73),IF(ISTEXT(B73),VALUE(B73),"ERREUR")))</f>
        <v/>
      </c>
      <c r="L73" s="38" t="str">
        <f>IF(COUNTIF($R$4:$R$6,C73)&gt;0,C73,IF(ISBLANK(C73),IF(ISBLANK(D73),T(C73),"ERREUR"),"ERREUR"))</f>
        <v/>
      </c>
      <c r="M73" s="49" t="str">
        <f>IF(ISBLANK(D73),IF(ISBLANK(D74),T(D73),"ERREUR"),IF(COUNTIF($T$4:$T$240,SUBSTITUTE(SUBSTITUTE(SUBSTITUTE(SUBSTITUTE(SUBSTITUTE(SUBSTITUTE(UPPER(D73),"Å","A"),"É","E"),"È","E"),"Ê","E"),"Î","I"),"Ï","I"))&gt;0,D73,IF(ISBLANK(D73),T(D73),"ERREUR")))</f>
        <v/>
      </c>
      <c r="N73" s="38" t="str">
        <f>IF(COUNTIF($V$4:$V$6,E73)&gt;0,E73,IF(ISBLANK(E73),IF(ISBLANK(E74),T(E73),"ERREUR"),"ERREUR"))</f>
        <v/>
      </c>
      <c r="O73" s="38" t="str">
        <f>IF(COUNTIF($W$4:$W$5,F73)&gt;0,F73,IF(ISBLANK(F73),IF(ISBLANK(F74),T(F73),"ERREUR"),"ERREUR"))</f>
        <v/>
      </c>
      <c r="P73" s="38" t="str">
        <f>IF(COUNTIF($X$4:$X$8,G73)&gt;0,G73,IF(ISBLANK(G73),IF(ISBLANK(G74),T(G73),"ERREUR"),"ERREUR"))</f>
        <v/>
      </c>
      <c r="Q73" s="38" t="str">
        <f>IF(ISNUMBER(H73),IF(INT(H73)=H73,H73,"ERREUR"),IF(ISBLANK(H73),IF(ISBLANK(H74),T(H73),"ERREUR"),"ERREUR"))</f>
        <v/>
      </c>
      <c r="R73" s="38"/>
      <c r="S73" s="1" t="s">
        <v>187</v>
      </c>
      <c r="T73" s="39" t="s">
        <v>188</v>
      </c>
      <c r="U73" s="38" t="str">
        <f>SUBSTITUTE(SUBSTITUTE(SUBSTITUTE(SUBSTITUTE(SUBSTITUTE(SUBSTITUTE(SUBSTITUTE(SUBSTITUTE(UPPER(S73),"Å","A"),"É","E"),"È","E"),"Ê","E"),"Ë","E"),"Î","I"),"Ï","I"),"Ô","O")</f>
        <v>FINLANDE</v>
      </c>
      <c r="V73" s="38"/>
      <c r="W73" s="38"/>
      <c r="X73" s="53"/>
      <c r="Y73" s="42"/>
      <c r="Z73" s="42"/>
      <c r="AA73" s="42"/>
    </row>
    <row r="74" ht="13.75" customHeight="1">
      <c r="A74" s="14" t="s">
        <v>140</v>
      </c>
      <c r="B74" s="50"/>
      <c r="C74" s="43"/>
      <c r="D74" s="43"/>
      <c r="E74" s="44"/>
      <c r="F74" s="44"/>
      <c r="G74" s="44"/>
      <c r="H74" s="45"/>
      <c r="I74" s="54"/>
      <c r="J74" s="47" t="str">
        <f>IF(OR(K74="ERREUR",L74="ERREUR",M74="ERREUR",N74="ERREUR",O74="ERREUR",P74="ERREUR",Q74="ERREUR"),"ERREUR",IF(AND(K74="",L74="",M74="",N74="",O74="",P74="",Q74=""),"ligne vide",IF(OR(K74="",L74="",M74="",N74="",O74="",P74="",Q74=""),"ligne incomplète","Valide")))</f>
        <v xml:space="preserve">ligne vide</v>
      </c>
      <c r="K74" s="48" t="str">
        <f>IF(ISBLANK(B74),IF(ISBLANK(B75),T(B74),"ERREUR"),IF(ISNUMBER(B74),_xlfn.NUMBERVALUE(B74),IF(ISTEXT(B74),VALUE(B74),"ERREUR")))</f>
        <v/>
      </c>
      <c r="L74" s="38" t="str">
        <f>IF(COUNTIF($R$4:$R$6,C74)&gt;0,C74,IF(ISBLANK(C74),IF(ISBLANK(D74),T(C74),"ERREUR"),"ERREUR"))</f>
        <v/>
      </c>
      <c r="M74" s="49" t="str">
        <f>IF(ISBLANK(D74),IF(ISBLANK(D75),T(D74),"ERREUR"),IF(COUNTIF($T$4:$T$240,SUBSTITUTE(SUBSTITUTE(SUBSTITUTE(SUBSTITUTE(SUBSTITUTE(SUBSTITUTE(UPPER(D74),"Å","A"),"É","E"),"È","E"),"Ê","E"),"Î","I"),"Ï","I"))&gt;0,D74,IF(ISBLANK(D74),T(D74),"ERREUR")))</f>
        <v/>
      </c>
      <c r="N74" s="38" t="str">
        <f>IF(COUNTIF($V$4:$V$6,E74)&gt;0,E74,IF(ISBLANK(E74),IF(ISBLANK(E75),T(E74),"ERREUR"),"ERREUR"))</f>
        <v/>
      </c>
      <c r="O74" s="38" t="str">
        <f>IF(COUNTIF($W$4:$W$5,F74)&gt;0,F74,IF(ISBLANK(F74),IF(ISBLANK(F75),T(F74),"ERREUR"),"ERREUR"))</f>
        <v/>
      </c>
      <c r="P74" s="38" t="str">
        <f>IF(COUNTIF($X$4:$X$8,G74)&gt;0,G74,IF(ISBLANK(G74),IF(ISBLANK(G75),T(G74),"ERREUR"),"ERREUR"))</f>
        <v/>
      </c>
      <c r="Q74" s="38" t="str">
        <f>IF(ISNUMBER(H74),IF(INT(H74)=H74,H74,"ERREUR"),IF(ISBLANK(H74),IF(ISBLANK(H75),T(H74),"ERREUR"),"ERREUR"))</f>
        <v/>
      </c>
      <c r="R74" s="38"/>
      <c r="S74" s="1" t="s">
        <v>189</v>
      </c>
      <c r="T74" s="39" t="s">
        <v>190</v>
      </c>
      <c r="U74" s="38" t="str">
        <f>SUBSTITUTE(SUBSTITUTE(SUBSTITUTE(SUBSTITUTE(SUBSTITUTE(SUBSTITUTE(SUBSTITUTE(SUBSTITUTE(UPPER(S74),"Å","A"),"É","E"),"È","E"),"Ê","E"),"Ë","E"),"Î","I"),"Ï","I"),"Ô","O")</f>
        <v>GABON</v>
      </c>
      <c r="V74" s="38"/>
      <c r="W74" s="38"/>
      <c r="X74" s="53"/>
      <c r="Y74" s="42"/>
      <c r="Z74" s="42"/>
      <c r="AA74" s="42"/>
    </row>
    <row r="75" ht="13.75" customHeight="1">
      <c r="A75" s="14" t="s">
        <v>140</v>
      </c>
      <c r="B75" s="50"/>
      <c r="C75" s="43"/>
      <c r="D75" s="43"/>
      <c r="E75" s="44"/>
      <c r="F75" s="44"/>
      <c r="G75" s="44"/>
      <c r="H75" s="45"/>
      <c r="I75" s="54"/>
      <c r="J75" s="47" t="str">
        <f>IF(OR(K75="ERREUR",L75="ERREUR",M75="ERREUR",N75="ERREUR",O75="ERREUR",P75="ERREUR",Q75="ERREUR"),"ERREUR",IF(AND(K75="",L75="",M75="",N75="",O75="",P75="",Q75=""),"ligne vide",IF(OR(K75="",L75="",M75="",N75="",O75="",P75="",Q75=""),"ligne incomplète","Valide")))</f>
        <v xml:space="preserve">ligne vide</v>
      </c>
      <c r="K75" s="48" t="str">
        <f>IF(ISBLANK(B75),IF(ISBLANK(B76),T(B75),"ERREUR"),IF(ISNUMBER(B75),_xlfn.NUMBERVALUE(B75),IF(ISTEXT(B75),VALUE(B75),"ERREUR")))</f>
        <v/>
      </c>
      <c r="L75" s="38" t="str">
        <f>IF(COUNTIF($R$4:$R$6,C75)&gt;0,C75,IF(ISBLANK(C75),IF(ISBLANK(D75),T(C75),"ERREUR"),"ERREUR"))</f>
        <v/>
      </c>
      <c r="M75" s="49" t="str">
        <f>IF(ISBLANK(D75),IF(ISBLANK(D76),T(D75),"ERREUR"),IF(COUNTIF($T$4:$T$240,SUBSTITUTE(SUBSTITUTE(SUBSTITUTE(SUBSTITUTE(SUBSTITUTE(SUBSTITUTE(UPPER(D75),"Å","A"),"É","E"),"È","E"),"Ê","E"),"Î","I"),"Ï","I"))&gt;0,D75,IF(ISBLANK(D75),T(D75),"ERREUR")))</f>
        <v/>
      </c>
      <c r="N75" s="38" t="str">
        <f>IF(COUNTIF($V$4:$V$6,E75)&gt;0,E75,IF(ISBLANK(E75),IF(ISBLANK(E76),T(E75),"ERREUR"),"ERREUR"))</f>
        <v/>
      </c>
      <c r="O75" s="38" t="str">
        <f>IF(COUNTIF($W$4:$W$5,F75)&gt;0,F75,IF(ISBLANK(F75),IF(ISBLANK(F76),T(F75),"ERREUR"),"ERREUR"))</f>
        <v/>
      </c>
      <c r="P75" s="38" t="str">
        <f>IF(COUNTIF($X$4:$X$8,G75)&gt;0,G75,IF(ISBLANK(G75),IF(ISBLANK(G76),T(G75),"ERREUR"),"ERREUR"))</f>
        <v/>
      </c>
      <c r="Q75" s="38" t="str">
        <f>IF(ISNUMBER(H75),IF(INT(H75)=H75,H75,"ERREUR"),IF(ISBLANK(H75),IF(ISBLANK(H76),T(H75),"ERREUR"),"ERREUR"))</f>
        <v/>
      </c>
      <c r="R75" s="38"/>
      <c r="S75" s="1" t="s">
        <v>191</v>
      </c>
      <c r="T75" s="39" t="s">
        <v>192</v>
      </c>
      <c r="U75" s="38" t="str">
        <f>SUBSTITUTE(SUBSTITUTE(SUBSTITUTE(SUBSTITUTE(SUBSTITUTE(SUBSTITUTE(SUBSTITUTE(SUBSTITUTE(UPPER(S75),"Å","A"),"É","E"),"È","E"),"Ê","E"),"Ë","E"),"Î","I"),"Ï","I"),"Ô","O")</f>
        <v>GAMBIE</v>
      </c>
      <c r="V75" s="38"/>
      <c r="W75" s="38"/>
      <c r="X75" s="53"/>
      <c r="Y75" s="42"/>
      <c r="Z75" s="42"/>
      <c r="AA75" s="42"/>
    </row>
    <row r="76" ht="13.75" customHeight="1">
      <c r="A76" s="14" t="s">
        <v>140</v>
      </c>
      <c r="B76" s="50"/>
      <c r="C76" s="43"/>
      <c r="D76" s="43"/>
      <c r="E76" s="44"/>
      <c r="F76" s="44"/>
      <c r="G76" s="44"/>
      <c r="H76" s="45"/>
      <c r="I76" s="54"/>
      <c r="J76" s="47" t="str">
        <f>IF(OR(K76="ERREUR",L76="ERREUR",M76="ERREUR",N76="ERREUR",O76="ERREUR",P76="ERREUR",Q76="ERREUR"),"ERREUR",IF(AND(K76="",L76="",M76="",N76="",O76="",P76="",Q76=""),"ligne vide",IF(OR(K76="",L76="",M76="",N76="",O76="",P76="",Q76=""),"ligne incomplète","Valide")))</f>
        <v xml:space="preserve">ligne vide</v>
      </c>
      <c r="K76" s="48" t="str">
        <f>IF(ISBLANK(B76),IF(ISBLANK(B77),T(B76),"ERREUR"),IF(ISNUMBER(B76),_xlfn.NUMBERVALUE(B76),IF(ISTEXT(B76),VALUE(B76),"ERREUR")))</f>
        <v/>
      </c>
      <c r="L76" s="38" t="str">
        <f>IF(COUNTIF($R$4:$R$6,C76)&gt;0,C76,IF(ISBLANK(C76),IF(ISBLANK(D76),T(C76),"ERREUR"),"ERREUR"))</f>
        <v/>
      </c>
      <c r="M76" s="49" t="str">
        <f>IF(ISBLANK(D76),IF(ISBLANK(D77),T(D76),"ERREUR"),IF(COUNTIF($T$4:$T$240,SUBSTITUTE(SUBSTITUTE(SUBSTITUTE(SUBSTITUTE(SUBSTITUTE(SUBSTITUTE(UPPER(D76),"Å","A"),"É","E"),"È","E"),"Ê","E"),"Î","I"),"Ï","I"))&gt;0,D76,IF(ISBLANK(D76),T(D76),"ERREUR")))</f>
        <v/>
      </c>
      <c r="N76" s="38" t="str">
        <f>IF(COUNTIF($V$4:$V$6,E76)&gt;0,E76,IF(ISBLANK(E76),IF(ISBLANK(E77),T(E76),"ERREUR"),"ERREUR"))</f>
        <v/>
      </c>
      <c r="O76" s="38" t="str">
        <f>IF(COUNTIF($W$4:$W$5,F76)&gt;0,F76,IF(ISBLANK(F76),IF(ISBLANK(F77),T(F76),"ERREUR"),"ERREUR"))</f>
        <v/>
      </c>
      <c r="P76" s="38" t="str">
        <f>IF(COUNTIF($X$4:$X$8,G76)&gt;0,G76,IF(ISBLANK(G76),IF(ISBLANK(G77),T(G76),"ERREUR"),"ERREUR"))</f>
        <v/>
      </c>
      <c r="Q76" s="38" t="str">
        <f>IF(ISNUMBER(H76),IF(INT(H76)=H76,H76,"ERREUR"),IF(ISBLANK(H76),IF(ISBLANK(H77),T(H76),"ERREUR"),"ERREUR"))</f>
        <v/>
      </c>
      <c r="R76" s="38"/>
      <c r="S76" s="1" t="s">
        <v>193</v>
      </c>
      <c r="T76" s="39" t="s">
        <v>194</v>
      </c>
      <c r="U76" s="38" t="str">
        <f>SUBSTITUTE(SUBSTITUTE(SUBSTITUTE(SUBSTITUTE(SUBSTITUTE(SUBSTITUTE(SUBSTITUTE(SUBSTITUTE(UPPER(S76),"Å","A"),"É","E"),"È","E"),"Ê","E"),"Ë","E"),"Î","I"),"Ï","I"),"Ô","O")</f>
        <v>GEORGIE</v>
      </c>
      <c r="V76" s="38"/>
      <c r="W76" s="38"/>
      <c r="X76" s="53"/>
      <c r="Y76" s="42"/>
      <c r="Z76" s="42"/>
      <c r="AA76" s="42"/>
    </row>
    <row r="77" ht="13.75" customHeight="1">
      <c r="A77" s="14" t="s">
        <v>140</v>
      </c>
      <c r="B77" s="50"/>
      <c r="C77" s="43"/>
      <c r="D77" s="43"/>
      <c r="E77" s="44"/>
      <c r="F77" s="44"/>
      <c r="G77" s="44"/>
      <c r="H77" s="45"/>
      <c r="I77" s="54"/>
      <c r="J77" s="47" t="str">
        <f>IF(OR(K77="ERREUR",L77="ERREUR",M77="ERREUR",N77="ERREUR",O77="ERREUR",P77="ERREUR",Q77="ERREUR"),"ERREUR",IF(AND(K77="",L77="",M77="",N77="",O77="",P77="",Q77=""),"ligne vide",IF(OR(K77="",L77="",M77="",N77="",O77="",P77="",Q77=""),"ligne incomplète","Valide")))</f>
        <v xml:space="preserve">ligne vide</v>
      </c>
      <c r="K77" s="48" t="str">
        <f>IF(ISBLANK(B77),IF(ISBLANK(B78),T(B77),"ERREUR"),IF(ISNUMBER(B77),_xlfn.NUMBERVALUE(B77),IF(ISTEXT(B77),VALUE(B77),"ERREUR")))</f>
        <v/>
      </c>
      <c r="L77" s="38" t="str">
        <f>IF(COUNTIF($R$4:$R$6,C77)&gt;0,C77,IF(ISBLANK(C77),IF(ISBLANK(D77),T(C77),"ERREUR"),"ERREUR"))</f>
        <v/>
      </c>
      <c r="M77" s="49" t="str">
        <f>IF(ISBLANK(D77),IF(ISBLANK(D78),T(D77),"ERREUR"),IF(COUNTIF($T$4:$T$240,SUBSTITUTE(SUBSTITUTE(SUBSTITUTE(SUBSTITUTE(SUBSTITUTE(SUBSTITUTE(UPPER(D77),"Å","A"),"É","E"),"È","E"),"Ê","E"),"Î","I"),"Ï","I"))&gt;0,D77,IF(ISBLANK(D77),T(D77),"ERREUR")))</f>
        <v/>
      </c>
      <c r="N77" s="38" t="str">
        <f>IF(COUNTIF($V$4:$V$6,E77)&gt;0,E77,IF(ISBLANK(E77),IF(ISBLANK(E78),T(E77),"ERREUR"),"ERREUR"))</f>
        <v/>
      </c>
      <c r="O77" s="38" t="str">
        <f>IF(COUNTIF($W$4:$W$5,F77)&gt;0,F77,IF(ISBLANK(F77),IF(ISBLANK(F78),T(F77),"ERREUR"),"ERREUR"))</f>
        <v/>
      </c>
      <c r="P77" s="38" t="str">
        <f>IF(COUNTIF($X$4:$X$8,G77)&gt;0,G77,IF(ISBLANK(G77),IF(ISBLANK(G78),T(G77),"ERREUR"),"ERREUR"))</f>
        <v/>
      </c>
      <c r="Q77" s="38" t="str">
        <f>IF(ISNUMBER(H77),IF(INT(H77)=H77,H77,"ERREUR"),IF(ISBLANK(H77),IF(ISBLANK(H78),T(H77),"ERREUR"),"ERREUR"))</f>
        <v/>
      </c>
      <c r="R77" s="38"/>
      <c r="S77" s="1" t="s">
        <v>195</v>
      </c>
      <c r="T77" s="39" t="s">
        <v>196</v>
      </c>
      <c r="U77" s="38" t="str">
        <f>SUBSTITUTE(SUBSTITUTE(SUBSTITUTE(SUBSTITUTE(SUBSTITUTE(SUBSTITUTE(SUBSTITUTE(SUBSTITUTE(UPPER(S77),"Å","A"),"É","E"),"È","E"),"Ê","E"),"Ë","E"),"Î","I"),"Ï","I"),"Ô","O")</f>
        <v xml:space="preserve">GEORGIE DU SUD ET LES ILES SANDWICH DU SUD</v>
      </c>
      <c r="V77" s="38"/>
      <c r="W77" s="38"/>
      <c r="X77" s="53"/>
      <c r="Y77" s="42"/>
      <c r="Z77" s="42"/>
      <c r="AA77" s="42"/>
    </row>
    <row r="78" ht="13.75" customHeight="1">
      <c r="A78" s="14" t="s">
        <v>140</v>
      </c>
      <c r="B78" s="50"/>
      <c r="C78" s="43"/>
      <c r="D78" s="43"/>
      <c r="E78" s="44"/>
      <c r="F78" s="44"/>
      <c r="G78" s="44"/>
      <c r="H78" s="45"/>
      <c r="I78" s="54"/>
      <c r="J78" s="47" t="str">
        <f>IF(OR(K78="ERREUR",L78="ERREUR",M78="ERREUR",N78="ERREUR",O78="ERREUR",P78="ERREUR",Q78="ERREUR"),"ERREUR",IF(AND(K78="",L78="",M78="",N78="",O78="",P78="",Q78=""),"ligne vide",IF(OR(K78="",L78="",M78="",N78="",O78="",P78="",Q78=""),"ligne incomplète","Valide")))</f>
        <v xml:space="preserve">ligne vide</v>
      </c>
      <c r="K78" s="48" t="str">
        <f>IF(ISBLANK(B78),IF(ISBLANK(B79),T(B78),"ERREUR"),IF(ISNUMBER(B78),_xlfn.NUMBERVALUE(B78),IF(ISTEXT(B78),VALUE(B78),"ERREUR")))</f>
        <v/>
      </c>
      <c r="L78" s="38" t="str">
        <f>IF(COUNTIF($R$4:$R$6,C78)&gt;0,C78,IF(ISBLANK(C78),IF(ISBLANK(D78),T(C78),"ERREUR"),"ERREUR"))</f>
        <v/>
      </c>
      <c r="M78" s="49" t="str">
        <f>IF(ISBLANK(D78),IF(ISBLANK(D79),T(D78),"ERREUR"),IF(COUNTIF($T$4:$T$240,SUBSTITUTE(SUBSTITUTE(SUBSTITUTE(SUBSTITUTE(SUBSTITUTE(SUBSTITUTE(UPPER(D78),"Å","A"),"É","E"),"È","E"),"Ê","E"),"Î","I"),"Ï","I"))&gt;0,D78,IF(ISBLANK(D78),T(D78),"ERREUR")))</f>
        <v/>
      </c>
      <c r="N78" s="38" t="str">
        <f>IF(COUNTIF($V$4:$V$6,E78)&gt;0,E78,IF(ISBLANK(E78),IF(ISBLANK(E79),T(E78),"ERREUR"),"ERREUR"))</f>
        <v/>
      </c>
      <c r="O78" s="38" t="str">
        <f>IF(COUNTIF($W$4:$W$5,F78)&gt;0,F78,IF(ISBLANK(F78),IF(ISBLANK(F79),T(F78),"ERREUR"),"ERREUR"))</f>
        <v/>
      </c>
      <c r="P78" s="38" t="str">
        <f>IF(COUNTIF($X$4:$X$8,G78)&gt;0,G78,IF(ISBLANK(G78),IF(ISBLANK(G79),T(G78),"ERREUR"),"ERREUR"))</f>
        <v/>
      </c>
      <c r="Q78" s="38" t="str">
        <f>IF(ISNUMBER(H78),IF(INT(H78)=H78,H78,"ERREUR"),IF(ISBLANK(H78),IF(ISBLANK(H79),T(H78),"ERREUR"),"ERREUR"))</f>
        <v/>
      </c>
      <c r="R78" s="38"/>
      <c r="S78" s="1" t="s">
        <v>197</v>
      </c>
      <c r="T78" s="39" t="s">
        <v>198</v>
      </c>
      <c r="U78" s="38" t="str">
        <f>SUBSTITUTE(SUBSTITUTE(SUBSTITUTE(SUBSTITUTE(SUBSTITUTE(SUBSTITUTE(SUBSTITUTE(SUBSTITUTE(UPPER(S78),"Å","A"),"É","E"),"È","E"),"Ê","E"),"Ë","E"),"Î","I"),"Ï","I"),"Ô","O")</f>
        <v>GHANA</v>
      </c>
      <c r="V78" s="38"/>
      <c r="W78" s="38"/>
      <c r="X78" s="53"/>
      <c r="Y78" s="42"/>
      <c r="Z78" s="42"/>
      <c r="AA78" s="42"/>
    </row>
    <row r="79" ht="13.75" customHeight="1">
      <c r="A79" s="14" t="s">
        <v>140</v>
      </c>
      <c r="B79" s="50"/>
      <c r="C79" s="43"/>
      <c r="D79" s="43"/>
      <c r="E79" s="44"/>
      <c r="F79" s="44"/>
      <c r="G79" s="44"/>
      <c r="H79" s="45"/>
      <c r="I79" s="54"/>
      <c r="J79" s="47" t="str">
        <f>IF(OR(K79="ERREUR",L79="ERREUR",M79="ERREUR",N79="ERREUR",O79="ERREUR",P79="ERREUR",Q79="ERREUR"),"ERREUR",IF(AND(K79="",L79="",M79="",N79="",O79="",P79="",Q79=""),"ligne vide",IF(OR(K79="",L79="",M79="",N79="",O79="",P79="",Q79=""),"ligne incomplète","Valide")))</f>
        <v xml:space="preserve">ligne vide</v>
      </c>
      <c r="K79" s="48" t="str">
        <f>IF(ISBLANK(B79),IF(ISBLANK(B80),T(B79),"ERREUR"),IF(ISNUMBER(B79),_xlfn.NUMBERVALUE(B79),IF(ISTEXT(B79),VALUE(B79),"ERREUR")))</f>
        <v/>
      </c>
      <c r="L79" s="38" t="str">
        <f>IF(COUNTIF($R$4:$R$6,C79)&gt;0,C79,IF(ISBLANK(C79),IF(ISBLANK(D79),T(C79),"ERREUR"),"ERREUR"))</f>
        <v/>
      </c>
      <c r="M79" s="49" t="str">
        <f>IF(ISBLANK(D79),IF(ISBLANK(D80),T(D79),"ERREUR"),IF(COUNTIF($T$4:$T$240,SUBSTITUTE(SUBSTITUTE(SUBSTITUTE(SUBSTITUTE(SUBSTITUTE(SUBSTITUTE(UPPER(D79),"Å","A"),"É","E"),"È","E"),"Ê","E"),"Î","I"),"Ï","I"))&gt;0,D79,IF(ISBLANK(D79),T(D79),"ERREUR")))</f>
        <v/>
      </c>
      <c r="N79" s="38" t="str">
        <f>IF(COUNTIF($V$4:$V$6,E79)&gt;0,E79,IF(ISBLANK(E79),IF(ISBLANK(E80),T(E79),"ERREUR"),"ERREUR"))</f>
        <v/>
      </c>
      <c r="O79" s="38" t="str">
        <f>IF(COUNTIF($W$4:$W$5,F79)&gt;0,F79,IF(ISBLANK(F79),IF(ISBLANK(F80),T(F79),"ERREUR"),"ERREUR"))</f>
        <v/>
      </c>
      <c r="P79" s="38" t="str">
        <f>IF(COUNTIF($X$4:$X$8,G79)&gt;0,G79,IF(ISBLANK(G79),IF(ISBLANK(G80),T(G79),"ERREUR"),"ERREUR"))</f>
        <v/>
      </c>
      <c r="Q79" s="38" t="str">
        <f>IF(ISNUMBER(H79),IF(INT(H79)=H79,H79,"ERREUR"),IF(ISBLANK(H79),IF(ISBLANK(H80),T(H79),"ERREUR"),"ERREUR"))</f>
        <v/>
      </c>
      <c r="R79" s="38"/>
      <c r="S79" s="1" t="s">
        <v>199</v>
      </c>
      <c r="T79" s="39" t="s">
        <v>200</v>
      </c>
      <c r="U79" s="38" t="str">
        <f>SUBSTITUTE(SUBSTITUTE(SUBSTITUTE(SUBSTITUTE(SUBSTITUTE(SUBSTITUTE(SUBSTITUTE(SUBSTITUTE(UPPER(S79),"Å","A"),"É","E"),"È","E"),"Ê","E"),"Ë","E"),"Î","I"),"Ï","I"),"Ô","O")</f>
        <v>GIBRALTAR</v>
      </c>
      <c r="V79" s="38"/>
      <c r="W79" s="38"/>
      <c r="X79" s="53"/>
      <c r="Y79" s="42"/>
      <c r="Z79" s="42"/>
      <c r="AA79" s="42"/>
    </row>
    <row r="80" ht="13.75" customHeight="1">
      <c r="A80" s="14" t="s">
        <v>140</v>
      </c>
      <c r="B80" s="50"/>
      <c r="C80" s="43"/>
      <c r="D80" s="43"/>
      <c r="E80" s="44"/>
      <c r="F80" s="44"/>
      <c r="G80" s="44"/>
      <c r="H80" s="45"/>
      <c r="I80" s="54"/>
      <c r="J80" s="47" t="str">
        <f>IF(OR(K80="ERREUR",L80="ERREUR",M80="ERREUR",N80="ERREUR",O80="ERREUR",P80="ERREUR",Q80="ERREUR"),"ERREUR",IF(AND(K80="",L80="",M80="",N80="",O80="",P80="",Q80=""),"ligne vide",IF(OR(K80="",L80="",M80="",N80="",O80="",P80="",Q80=""),"ligne incomplète","Valide")))</f>
        <v xml:space="preserve">ligne vide</v>
      </c>
      <c r="K80" s="48" t="str">
        <f>IF(ISBLANK(B80),IF(ISBLANK(B81),T(B80),"ERREUR"),IF(ISNUMBER(B80),_xlfn.NUMBERVALUE(B80),IF(ISTEXT(B80),VALUE(B80),"ERREUR")))</f>
        <v/>
      </c>
      <c r="L80" s="38" t="str">
        <f>IF(COUNTIF($R$4:$R$6,C80)&gt;0,C80,IF(ISBLANK(C80),IF(ISBLANK(D80),T(C80),"ERREUR"),"ERREUR"))</f>
        <v/>
      </c>
      <c r="M80" s="49" t="str">
        <f>IF(ISBLANK(D80),IF(ISBLANK(D81),T(D80),"ERREUR"),IF(COUNTIF($T$4:$T$240,SUBSTITUTE(SUBSTITUTE(SUBSTITUTE(SUBSTITUTE(SUBSTITUTE(SUBSTITUTE(UPPER(D80),"Å","A"),"É","E"),"È","E"),"Ê","E"),"Î","I"),"Ï","I"))&gt;0,D80,IF(ISBLANK(D80),T(D80),"ERREUR")))</f>
        <v/>
      </c>
      <c r="N80" s="38" t="str">
        <f>IF(COUNTIF($V$4:$V$6,E80)&gt;0,E80,IF(ISBLANK(E80),IF(ISBLANK(E81),T(E80),"ERREUR"),"ERREUR"))</f>
        <v/>
      </c>
      <c r="O80" s="38" t="str">
        <f>IF(COUNTIF($W$4:$W$5,F80)&gt;0,F80,IF(ISBLANK(F80),IF(ISBLANK(F81),T(F80),"ERREUR"),"ERREUR"))</f>
        <v/>
      </c>
      <c r="P80" s="38" t="str">
        <f>IF(COUNTIF($X$4:$X$8,G80)&gt;0,G80,IF(ISBLANK(G80),IF(ISBLANK(G81),T(G80),"ERREUR"),"ERREUR"))</f>
        <v/>
      </c>
      <c r="Q80" s="38" t="str">
        <f>IF(ISNUMBER(H80),IF(INT(H80)=H80,H80,"ERREUR"),IF(ISBLANK(H80),IF(ISBLANK(H81),T(H80),"ERREUR"),"ERREUR"))</f>
        <v/>
      </c>
      <c r="R80" s="38"/>
      <c r="S80" s="1" t="s">
        <v>201</v>
      </c>
      <c r="T80" s="39" t="s">
        <v>202</v>
      </c>
      <c r="U80" s="38" t="str">
        <f>SUBSTITUTE(SUBSTITUTE(SUBSTITUTE(SUBSTITUTE(SUBSTITUTE(SUBSTITUTE(SUBSTITUTE(SUBSTITUTE(UPPER(S80),"Å","A"),"É","E"),"È","E"),"Ê","E"),"Ë","E"),"Î","I"),"Ï","I"),"Ô","O")</f>
        <v>GRECE</v>
      </c>
      <c r="V80" s="38"/>
      <c r="W80" s="38"/>
      <c r="X80" s="53"/>
      <c r="Y80" s="42"/>
      <c r="Z80" s="42"/>
      <c r="AA80" s="42"/>
    </row>
    <row r="81" ht="13.75" customHeight="1">
      <c r="A81" s="14" t="s">
        <v>140</v>
      </c>
      <c r="B81" s="50"/>
      <c r="C81" s="43"/>
      <c r="D81" s="43"/>
      <c r="E81" s="44"/>
      <c r="F81" s="44"/>
      <c r="G81" s="44"/>
      <c r="H81" s="45"/>
      <c r="I81" s="54"/>
      <c r="J81" s="47" t="str">
        <f>IF(OR(K81="ERREUR",L81="ERREUR",M81="ERREUR",N81="ERREUR",O81="ERREUR",P81="ERREUR",Q81="ERREUR"),"ERREUR",IF(AND(K81="",L81="",M81="",N81="",O81="",P81="",Q81=""),"ligne vide",IF(OR(K81="",L81="",M81="",N81="",O81="",P81="",Q81=""),"ligne incomplète","Valide")))</f>
        <v xml:space="preserve">ligne vide</v>
      </c>
      <c r="K81" s="48" t="str">
        <f>IF(ISBLANK(B81),IF(ISBLANK(B82),T(B81),"ERREUR"),IF(ISNUMBER(B81),_xlfn.NUMBERVALUE(B81),IF(ISTEXT(B81),VALUE(B81),"ERREUR")))</f>
        <v/>
      </c>
      <c r="L81" s="38" t="str">
        <f>IF(COUNTIF($R$4:$R$6,C81)&gt;0,C81,IF(ISBLANK(C81),IF(ISBLANK(D81),T(C81),"ERREUR"),"ERREUR"))</f>
        <v/>
      </c>
      <c r="M81" s="49" t="str">
        <f>IF(ISBLANK(D81),IF(ISBLANK(D82),T(D81),"ERREUR"),IF(COUNTIF($T$4:$T$240,SUBSTITUTE(SUBSTITUTE(SUBSTITUTE(SUBSTITUTE(SUBSTITUTE(SUBSTITUTE(UPPER(D81),"Å","A"),"É","E"),"È","E"),"Ê","E"),"Î","I"),"Ï","I"))&gt;0,D81,IF(ISBLANK(D81),T(D81),"ERREUR")))</f>
        <v/>
      </c>
      <c r="N81" s="38" t="str">
        <f>IF(COUNTIF($V$4:$V$6,E81)&gt;0,E81,IF(ISBLANK(E81),IF(ISBLANK(E82),T(E81),"ERREUR"),"ERREUR"))</f>
        <v/>
      </c>
      <c r="O81" s="38" t="str">
        <f>IF(COUNTIF($W$4:$W$5,F81)&gt;0,F81,IF(ISBLANK(F81),IF(ISBLANK(F82),T(F81),"ERREUR"),"ERREUR"))</f>
        <v/>
      </c>
      <c r="P81" s="38" t="str">
        <f>IF(COUNTIF($X$4:$X$8,G81)&gt;0,G81,IF(ISBLANK(G81),IF(ISBLANK(G82),T(G81),"ERREUR"),"ERREUR"))</f>
        <v/>
      </c>
      <c r="Q81" s="38" t="str">
        <f>IF(ISNUMBER(H81),IF(INT(H81)=H81,H81,"ERREUR"),IF(ISBLANK(H81),IF(ISBLANK(H82),T(H81),"ERREUR"),"ERREUR"))</f>
        <v/>
      </c>
      <c r="R81" s="38"/>
      <c r="S81" s="1" t="s">
        <v>203</v>
      </c>
      <c r="T81" s="39" t="s">
        <v>204</v>
      </c>
      <c r="U81" s="38" t="str">
        <f>SUBSTITUTE(SUBSTITUTE(SUBSTITUTE(SUBSTITUTE(SUBSTITUTE(SUBSTITUTE(SUBSTITUTE(SUBSTITUTE(UPPER(S81),"Å","A"),"É","E"),"È","E"),"Ê","E"),"Ë","E"),"Î","I"),"Ï","I"),"Ô","O")</f>
        <v>GRENADE</v>
      </c>
      <c r="V81" s="38"/>
      <c r="W81" s="38"/>
      <c r="X81" s="53"/>
      <c r="Y81" s="42"/>
      <c r="Z81" s="42"/>
      <c r="AA81" s="42"/>
    </row>
    <row r="82" ht="13.75" customHeight="1">
      <c r="A82" s="14" t="s">
        <v>140</v>
      </c>
      <c r="B82" s="50"/>
      <c r="C82" s="43"/>
      <c r="D82" s="43"/>
      <c r="E82" s="44"/>
      <c r="F82" s="44"/>
      <c r="G82" s="44"/>
      <c r="H82" s="45"/>
      <c r="I82" s="54"/>
      <c r="J82" s="47" t="str">
        <f>IF(OR(K82="ERREUR",L82="ERREUR",M82="ERREUR",N82="ERREUR",O82="ERREUR",P82="ERREUR",Q82="ERREUR"),"ERREUR",IF(AND(K82="",L82="",M82="",N82="",O82="",P82="",Q82=""),"ligne vide",IF(OR(K82="",L82="",M82="",N82="",O82="",P82="",Q82=""),"ligne incomplète","Valide")))</f>
        <v xml:space="preserve">ligne vide</v>
      </c>
      <c r="K82" s="48" t="str">
        <f>IF(ISBLANK(B82),IF(ISBLANK(B83),T(B82),"ERREUR"),IF(ISNUMBER(B82),_xlfn.NUMBERVALUE(B82),IF(ISTEXT(B82),VALUE(B82),"ERREUR")))</f>
        <v/>
      </c>
      <c r="L82" s="38" t="str">
        <f>IF(COUNTIF($R$4:$R$6,C82)&gt;0,C82,IF(ISBLANK(C82),IF(ISBLANK(D82),T(C82),"ERREUR"),"ERREUR"))</f>
        <v/>
      </c>
      <c r="M82" s="49" t="str">
        <f>IF(ISBLANK(D82),IF(ISBLANK(D83),T(D82),"ERREUR"),IF(COUNTIF($T$4:$T$240,SUBSTITUTE(SUBSTITUTE(SUBSTITUTE(SUBSTITUTE(SUBSTITUTE(SUBSTITUTE(UPPER(D82),"Å","A"),"É","E"),"È","E"),"Ê","E"),"Î","I"),"Ï","I"))&gt;0,D82,IF(ISBLANK(D82),T(D82),"ERREUR")))</f>
        <v/>
      </c>
      <c r="N82" s="38" t="str">
        <f>IF(COUNTIF($V$4:$V$6,E82)&gt;0,E82,IF(ISBLANK(E82),IF(ISBLANK(E83),T(E82),"ERREUR"),"ERREUR"))</f>
        <v/>
      </c>
      <c r="O82" s="38" t="str">
        <f>IF(COUNTIF($W$4:$W$5,F82)&gt;0,F82,IF(ISBLANK(F82),IF(ISBLANK(F83),T(F82),"ERREUR"),"ERREUR"))</f>
        <v/>
      </c>
      <c r="P82" s="38" t="str">
        <f>IF(COUNTIF($X$4:$X$8,G82)&gt;0,G82,IF(ISBLANK(G82),IF(ISBLANK(G83),T(G82),"ERREUR"),"ERREUR"))</f>
        <v/>
      </c>
      <c r="Q82" s="38" t="str">
        <f>IF(ISNUMBER(H82),IF(INT(H82)=H82,H82,"ERREUR"),IF(ISBLANK(H82),IF(ISBLANK(H83),T(H82),"ERREUR"),"ERREUR"))</f>
        <v/>
      </c>
      <c r="R82" s="38"/>
      <c r="S82" s="1" t="s">
        <v>205</v>
      </c>
      <c r="T82" s="39" t="s">
        <v>206</v>
      </c>
      <c r="U82" s="38" t="str">
        <f>SUBSTITUTE(SUBSTITUTE(SUBSTITUTE(SUBSTITUTE(SUBSTITUTE(SUBSTITUTE(SUBSTITUTE(SUBSTITUTE(UPPER(S82),"Å","A"),"É","E"),"È","E"),"Ê","E"),"Ë","E"),"Î","I"),"Ï","I"),"Ô","O")</f>
        <v>GROENLAND</v>
      </c>
      <c r="V82" s="38"/>
      <c r="W82" s="38"/>
      <c r="X82" s="53"/>
      <c r="Y82" s="42"/>
      <c r="Z82" s="42"/>
      <c r="AA82" s="42"/>
    </row>
    <row r="83" ht="13.75" customHeight="1">
      <c r="A83" s="14" t="s">
        <v>140</v>
      </c>
      <c r="B83" s="50"/>
      <c r="C83" s="43"/>
      <c r="D83" s="43"/>
      <c r="E83" s="44"/>
      <c r="F83" s="44"/>
      <c r="G83" s="44"/>
      <c r="H83" s="45"/>
      <c r="I83" s="54"/>
      <c r="J83" s="47" t="str">
        <f>IF(OR(K83="ERREUR",L83="ERREUR",M83="ERREUR",N83="ERREUR",O83="ERREUR",P83="ERREUR",Q83="ERREUR"),"ERREUR",IF(AND(K83="",L83="",M83="",N83="",O83="",P83="",Q83=""),"ligne vide",IF(OR(K83="",L83="",M83="",N83="",O83="",P83="",Q83=""),"ligne incomplète","Valide")))</f>
        <v xml:space="preserve">ligne vide</v>
      </c>
      <c r="K83" s="48" t="str">
        <f>IF(ISBLANK(B83),IF(ISBLANK(B84),T(B83),"ERREUR"),IF(ISNUMBER(B83),_xlfn.NUMBERVALUE(B83),IF(ISTEXT(B83),VALUE(B83),"ERREUR")))</f>
        <v/>
      </c>
      <c r="L83" s="38" t="str">
        <f>IF(COUNTIF($R$4:$R$6,C83)&gt;0,C83,IF(ISBLANK(C83),IF(ISBLANK(D83),T(C83),"ERREUR"),"ERREUR"))</f>
        <v/>
      </c>
      <c r="M83" s="49" t="str">
        <f>IF(ISBLANK(D83),IF(ISBLANK(D84),T(D83),"ERREUR"),IF(COUNTIF($T$4:$T$240,SUBSTITUTE(SUBSTITUTE(SUBSTITUTE(SUBSTITUTE(SUBSTITUTE(SUBSTITUTE(UPPER(D83),"Å","A"),"É","E"),"È","E"),"Ê","E"),"Î","I"),"Ï","I"))&gt;0,D83,IF(ISBLANK(D83),T(D83),"ERREUR")))</f>
        <v/>
      </c>
      <c r="N83" s="38" t="str">
        <f>IF(COUNTIF($V$4:$V$6,E83)&gt;0,E83,IF(ISBLANK(E83),IF(ISBLANK(E84),T(E83),"ERREUR"),"ERREUR"))</f>
        <v/>
      </c>
      <c r="O83" s="38" t="str">
        <f>IF(COUNTIF($W$4:$W$5,F83)&gt;0,F83,IF(ISBLANK(F83),IF(ISBLANK(F84),T(F83),"ERREUR"),"ERREUR"))</f>
        <v/>
      </c>
      <c r="P83" s="38" t="str">
        <f>IF(COUNTIF($X$4:$X$8,G83)&gt;0,G83,IF(ISBLANK(G83),IF(ISBLANK(G84),T(G83),"ERREUR"),"ERREUR"))</f>
        <v/>
      </c>
      <c r="Q83" s="38" t="str">
        <f>IF(ISNUMBER(H83),IF(INT(H83)=H83,H83,"ERREUR"),IF(ISBLANK(H83),IF(ISBLANK(H84),T(H83),"ERREUR"),"ERREUR"))</f>
        <v/>
      </c>
      <c r="R83" s="38"/>
      <c r="S83" s="1" t="s">
        <v>207</v>
      </c>
      <c r="T83" s="39" t="s">
        <v>208</v>
      </c>
      <c r="U83" s="38" t="str">
        <f>SUBSTITUTE(SUBSTITUTE(SUBSTITUTE(SUBSTITUTE(SUBSTITUTE(SUBSTITUTE(SUBSTITUTE(SUBSTITUTE(UPPER(S83),"Å","A"),"É","E"),"È","E"),"Ê","E"),"Ë","E"),"Î","I"),"Ï","I"),"Ô","O")</f>
        <v>GUAM</v>
      </c>
      <c r="V83" s="38"/>
      <c r="W83" s="38"/>
      <c r="X83" s="53"/>
      <c r="Y83" s="42"/>
      <c r="Z83" s="42"/>
      <c r="AA83" s="42"/>
    </row>
    <row r="84" ht="13.75" customHeight="1">
      <c r="A84" s="14" t="s">
        <v>140</v>
      </c>
      <c r="B84" s="50"/>
      <c r="C84" s="43"/>
      <c r="D84" s="43"/>
      <c r="E84" s="44"/>
      <c r="F84" s="44"/>
      <c r="G84" s="44"/>
      <c r="H84" s="45"/>
      <c r="I84" s="54"/>
      <c r="J84" s="47" t="str">
        <f>IF(OR(K84="ERREUR",L84="ERREUR",M84="ERREUR",N84="ERREUR",O84="ERREUR",P84="ERREUR",Q84="ERREUR"),"ERREUR",IF(AND(K84="",L84="",M84="",N84="",O84="",P84="",Q84=""),"ligne vide",IF(OR(K84="",L84="",M84="",N84="",O84="",P84="",Q84=""),"ligne incomplète","Valide")))</f>
        <v xml:space="preserve">ligne vide</v>
      </c>
      <c r="K84" s="48" t="str">
        <f>IF(ISBLANK(B84),IF(ISBLANK(B85),T(B84),"ERREUR"),IF(ISNUMBER(B84),_xlfn.NUMBERVALUE(B84),IF(ISTEXT(B84),VALUE(B84),"ERREUR")))</f>
        <v/>
      </c>
      <c r="L84" s="38" t="str">
        <f>IF(COUNTIF($R$4:$R$6,C84)&gt;0,C84,IF(ISBLANK(C84),IF(ISBLANK(D84),T(C84),"ERREUR"),"ERREUR"))</f>
        <v/>
      </c>
      <c r="M84" s="49" t="str">
        <f>IF(ISBLANK(D84),IF(ISBLANK(D85),T(D84),"ERREUR"),IF(COUNTIF($T$4:$T$240,SUBSTITUTE(SUBSTITUTE(SUBSTITUTE(SUBSTITUTE(SUBSTITUTE(SUBSTITUTE(UPPER(D84),"Å","A"),"É","E"),"È","E"),"Ê","E"),"Î","I"),"Ï","I"))&gt;0,D84,IF(ISBLANK(D84),T(D84),"ERREUR")))</f>
        <v/>
      </c>
      <c r="N84" s="38" t="str">
        <f>IF(COUNTIF($V$4:$V$6,E84)&gt;0,E84,IF(ISBLANK(E84),IF(ISBLANK(E85),T(E84),"ERREUR"),"ERREUR"))</f>
        <v/>
      </c>
      <c r="O84" s="38" t="str">
        <f>IF(COUNTIF($W$4:$W$5,F84)&gt;0,F84,IF(ISBLANK(F84),IF(ISBLANK(F85),T(F84),"ERREUR"),"ERREUR"))</f>
        <v/>
      </c>
      <c r="P84" s="38" t="str">
        <f>IF(COUNTIF($X$4:$X$8,G84)&gt;0,G84,IF(ISBLANK(G84),IF(ISBLANK(G85),T(G84),"ERREUR"),"ERREUR"))</f>
        <v/>
      </c>
      <c r="Q84" s="38" t="str">
        <f>IF(ISNUMBER(H84),IF(INT(H84)=H84,H84,"ERREUR"),IF(ISBLANK(H84),IF(ISBLANK(H85),T(H84),"ERREUR"),"ERREUR"))</f>
        <v/>
      </c>
      <c r="R84" s="38"/>
      <c r="S84" s="1" t="s">
        <v>209</v>
      </c>
      <c r="T84" s="39" t="s">
        <v>210</v>
      </c>
      <c r="U84" s="38" t="str">
        <f>SUBSTITUTE(SUBSTITUTE(SUBSTITUTE(SUBSTITUTE(SUBSTITUTE(SUBSTITUTE(SUBSTITUTE(SUBSTITUTE(UPPER(S84),"Å","A"),"É","E"),"È","E"),"Ê","E"),"Ë","E"),"Î","I"),"Ï","I"),"Ô","O")</f>
        <v>GUATEMALA</v>
      </c>
      <c r="V84" s="38"/>
      <c r="W84" s="38"/>
      <c r="X84" s="53"/>
      <c r="Y84" s="42"/>
      <c r="Z84" s="42"/>
      <c r="AA84" s="42"/>
    </row>
    <row r="85" ht="13.75" customHeight="1">
      <c r="A85" s="14" t="s">
        <v>140</v>
      </c>
      <c r="B85" s="50"/>
      <c r="C85" s="43"/>
      <c r="D85" s="43"/>
      <c r="E85" s="44"/>
      <c r="F85" s="44"/>
      <c r="G85" s="44"/>
      <c r="H85" s="45"/>
      <c r="I85" s="54"/>
      <c r="J85" s="47" t="str">
        <f>IF(OR(K85="ERREUR",L85="ERREUR",M85="ERREUR",N85="ERREUR",O85="ERREUR",P85="ERREUR",Q85="ERREUR"),"ERREUR",IF(AND(K85="",L85="",M85="",N85="",O85="",P85="",Q85=""),"ligne vide",IF(OR(K85="",L85="",M85="",N85="",O85="",P85="",Q85=""),"ligne incomplète","Valide")))</f>
        <v xml:space="preserve">ligne vide</v>
      </c>
      <c r="K85" s="48" t="str">
        <f>IF(ISBLANK(B85),IF(ISBLANK(B86),T(B85),"ERREUR"),IF(ISNUMBER(B85),_xlfn.NUMBERVALUE(B85),IF(ISTEXT(B85),VALUE(B85),"ERREUR")))</f>
        <v/>
      </c>
      <c r="L85" s="38" t="str">
        <f>IF(COUNTIF($R$4:$R$6,C85)&gt;0,C85,IF(ISBLANK(C85),IF(ISBLANK(D85),T(C85),"ERREUR"),"ERREUR"))</f>
        <v/>
      </c>
      <c r="M85" s="49" t="str">
        <f>IF(ISBLANK(D85),IF(ISBLANK(D86),T(D85),"ERREUR"),IF(COUNTIF($T$4:$T$240,SUBSTITUTE(SUBSTITUTE(SUBSTITUTE(SUBSTITUTE(SUBSTITUTE(SUBSTITUTE(UPPER(D85),"Å","A"),"É","E"),"È","E"),"Ê","E"),"Î","I"),"Ï","I"))&gt;0,D85,IF(ISBLANK(D85),T(D85),"ERREUR")))</f>
        <v/>
      </c>
      <c r="N85" s="38" t="str">
        <f>IF(COUNTIF($V$4:$V$6,E85)&gt;0,E85,IF(ISBLANK(E85),IF(ISBLANK(E86),T(E85),"ERREUR"),"ERREUR"))</f>
        <v/>
      </c>
      <c r="O85" s="38" t="str">
        <f>IF(COUNTIF($W$4:$W$5,F85)&gt;0,F85,IF(ISBLANK(F85),IF(ISBLANK(F86),T(F85),"ERREUR"),"ERREUR"))</f>
        <v/>
      </c>
      <c r="P85" s="38" t="str">
        <f>IF(COUNTIF($X$4:$X$8,G85)&gt;0,G85,IF(ISBLANK(G85),IF(ISBLANK(G86),T(G85),"ERREUR"),"ERREUR"))</f>
        <v/>
      </c>
      <c r="Q85" s="38" t="str">
        <f>IF(ISNUMBER(H85),IF(INT(H85)=H85,H85,"ERREUR"),IF(ISBLANK(H85),IF(ISBLANK(H86),T(H85),"ERREUR"),"ERREUR"))</f>
        <v/>
      </c>
      <c r="R85" s="38"/>
      <c r="S85" s="1" t="s">
        <v>211</v>
      </c>
      <c r="T85" s="39" t="s">
        <v>212</v>
      </c>
      <c r="U85" s="38" t="str">
        <f>SUBSTITUTE(SUBSTITUTE(SUBSTITUTE(SUBSTITUTE(SUBSTITUTE(SUBSTITUTE(SUBSTITUTE(SUBSTITUTE(UPPER(S85),"Å","A"),"É","E"),"È","E"),"Ê","E"),"Ë","E"),"Î","I"),"Ï","I"),"Ô","O")</f>
        <v>GUERNESEY</v>
      </c>
      <c r="V85" s="38"/>
      <c r="W85" s="38"/>
      <c r="X85" s="53"/>
      <c r="Y85" s="42"/>
      <c r="Z85" s="42"/>
      <c r="AA85" s="42"/>
    </row>
    <row r="86" ht="13.75" customHeight="1">
      <c r="A86" s="14" t="s">
        <v>140</v>
      </c>
      <c r="B86" s="50"/>
      <c r="C86" s="43"/>
      <c r="D86" s="43"/>
      <c r="E86" s="44"/>
      <c r="F86" s="44"/>
      <c r="G86" s="44"/>
      <c r="H86" s="45"/>
      <c r="I86" s="54"/>
      <c r="J86" s="47" t="str">
        <f>IF(OR(K86="ERREUR",L86="ERREUR",M86="ERREUR",N86="ERREUR",O86="ERREUR",P86="ERREUR",Q86="ERREUR"),"ERREUR",IF(AND(K86="",L86="",M86="",N86="",O86="",P86="",Q86=""),"ligne vide",IF(OR(K86="",L86="",M86="",N86="",O86="",P86="",Q86=""),"ligne incomplète","Valide")))</f>
        <v xml:space="preserve">ligne vide</v>
      </c>
      <c r="K86" s="48" t="str">
        <f>IF(ISBLANK(B86),IF(ISBLANK(B87),T(B86),"ERREUR"),IF(ISNUMBER(B86),_xlfn.NUMBERVALUE(B86),IF(ISTEXT(B86),VALUE(B86),"ERREUR")))</f>
        <v/>
      </c>
      <c r="L86" s="38" t="str">
        <f>IF(COUNTIF($R$4:$R$6,C86)&gt;0,C86,IF(ISBLANK(C86),IF(ISBLANK(D86),T(C86),"ERREUR"),"ERREUR"))</f>
        <v/>
      </c>
      <c r="M86" s="49" t="str">
        <f>IF(ISBLANK(D86),IF(ISBLANK(D87),T(D86),"ERREUR"),IF(COUNTIF($T$4:$T$240,SUBSTITUTE(SUBSTITUTE(SUBSTITUTE(SUBSTITUTE(SUBSTITUTE(SUBSTITUTE(UPPER(D86),"Å","A"),"É","E"),"È","E"),"Ê","E"),"Î","I"),"Ï","I"))&gt;0,D86,IF(ISBLANK(D86),T(D86),"ERREUR")))</f>
        <v/>
      </c>
      <c r="N86" s="38" t="str">
        <f>IF(COUNTIF($V$4:$V$6,E86)&gt;0,E86,IF(ISBLANK(E86),IF(ISBLANK(E87),T(E86),"ERREUR"),"ERREUR"))</f>
        <v/>
      </c>
      <c r="O86" s="38" t="str">
        <f>IF(COUNTIF($W$4:$W$5,F86)&gt;0,F86,IF(ISBLANK(F86),IF(ISBLANK(F87),T(F86),"ERREUR"),"ERREUR"))</f>
        <v/>
      </c>
      <c r="P86" s="38" t="str">
        <f>IF(COUNTIF($X$4:$X$8,G86)&gt;0,G86,IF(ISBLANK(G86),IF(ISBLANK(G87),T(G86),"ERREUR"),"ERREUR"))</f>
        <v/>
      </c>
      <c r="Q86" s="38" t="str">
        <f>IF(ISNUMBER(H86),IF(INT(H86)=H86,H86,"ERREUR"),IF(ISBLANK(H86),IF(ISBLANK(H87),T(H86),"ERREUR"),"ERREUR"))</f>
        <v/>
      </c>
      <c r="R86" s="38"/>
      <c r="S86" s="1" t="s">
        <v>213</v>
      </c>
      <c r="T86" s="39" t="s">
        <v>214</v>
      </c>
      <c r="U86" s="38" t="str">
        <f>SUBSTITUTE(SUBSTITUTE(SUBSTITUTE(SUBSTITUTE(SUBSTITUTE(SUBSTITUTE(SUBSTITUTE(SUBSTITUTE(UPPER(S86),"Å","A"),"É","E"),"È","E"),"Ê","E"),"Ë","E"),"Î","I"),"Ï","I"),"Ô","O")</f>
        <v>GUINEE</v>
      </c>
      <c r="V86" s="38"/>
      <c r="W86" s="38"/>
      <c r="X86" s="53"/>
      <c r="Y86" s="42"/>
      <c r="Z86" s="42"/>
      <c r="AA86" s="42"/>
    </row>
    <row r="87" ht="13.75" customHeight="1">
      <c r="A87" s="14" t="s">
        <v>140</v>
      </c>
      <c r="B87" s="50"/>
      <c r="C87" s="43"/>
      <c r="D87" s="43"/>
      <c r="E87" s="44"/>
      <c r="F87" s="44"/>
      <c r="G87" s="44"/>
      <c r="H87" s="45"/>
      <c r="I87" s="54"/>
      <c r="J87" s="47" t="str">
        <f>IF(OR(K87="ERREUR",L87="ERREUR",M87="ERREUR",N87="ERREUR",O87="ERREUR",P87="ERREUR",Q87="ERREUR"),"ERREUR",IF(AND(K87="",L87="",M87="",N87="",O87="",P87="",Q87=""),"ligne vide",IF(OR(K87="",L87="",M87="",N87="",O87="",P87="",Q87=""),"ligne incomplète","Valide")))</f>
        <v xml:space="preserve">ligne vide</v>
      </c>
      <c r="K87" s="48" t="str">
        <f>IF(ISBLANK(B87),IF(ISBLANK(B88),T(B87),"ERREUR"),IF(ISNUMBER(B87),_xlfn.NUMBERVALUE(B87),IF(ISTEXT(B87),VALUE(B87),"ERREUR")))</f>
        <v/>
      </c>
      <c r="L87" s="38" t="str">
        <f>IF(COUNTIF($R$4:$R$6,C87)&gt;0,C87,IF(ISBLANK(C87),IF(ISBLANK(D87),T(C87),"ERREUR"),"ERREUR"))</f>
        <v/>
      </c>
      <c r="M87" s="49" t="str">
        <f>IF(ISBLANK(D87),IF(ISBLANK(D88),T(D87),"ERREUR"),IF(COUNTIF($T$4:$T$240,SUBSTITUTE(SUBSTITUTE(SUBSTITUTE(SUBSTITUTE(SUBSTITUTE(SUBSTITUTE(UPPER(D87),"Å","A"),"É","E"),"È","E"),"Ê","E"),"Î","I"),"Ï","I"))&gt;0,D87,IF(ISBLANK(D87),T(D87),"ERREUR")))</f>
        <v/>
      </c>
      <c r="N87" s="38" t="str">
        <f>IF(COUNTIF($V$4:$V$6,E87)&gt;0,E87,IF(ISBLANK(E87),IF(ISBLANK(E88),T(E87),"ERREUR"),"ERREUR"))</f>
        <v/>
      </c>
      <c r="O87" s="38" t="str">
        <f>IF(COUNTIF($W$4:$W$5,F87)&gt;0,F87,IF(ISBLANK(F87),IF(ISBLANK(F88),T(F87),"ERREUR"),"ERREUR"))</f>
        <v/>
      </c>
      <c r="P87" s="38" t="str">
        <f>IF(COUNTIF($X$4:$X$8,G87)&gt;0,G87,IF(ISBLANK(G87),IF(ISBLANK(G88),T(G87),"ERREUR"),"ERREUR"))</f>
        <v/>
      </c>
      <c r="Q87" s="38" t="str">
        <f>IF(ISNUMBER(H87),IF(INT(H87)=H87,H87,"ERREUR"),IF(ISBLANK(H87),IF(ISBLANK(H88),T(H87),"ERREUR"),"ERREUR"))</f>
        <v/>
      </c>
      <c r="R87" s="38"/>
      <c r="S87" s="1" t="s">
        <v>215</v>
      </c>
      <c r="T87" s="39" t="s">
        <v>216</v>
      </c>
      <c r="U87" s="38" t="str">
        <f>SUBSTITUTE(SUBSTITUTE(SUBSTITUTE(SUBSTITUTE(SUBSTITUTE(SUBSTITUTE(SUBSTITUTE(SUBSTITUTE(UPPER(S87),"Å","A"),"É","E"),"È","E"),"Ê","E"),"Ë","E"),"Î","I"),"Ï","I"),"Ô","O")</f>
        <v xml:space="preserve">GUINEE EQUATORIALE</v>
      </c>
      <c r="V87" s="38"/>
      <c r="W87" s="38"/>
      <c r="X87" s="53"/>
      <c r="Y87" s="42"/>
      <c r="Z87" s="42"/>
      <c r="AA87" s="42"/>
    </row>
    <row r="88" ht="13.75" customHeight="1">
      <c r="A88" s="14" t="s">
        <v>140</v>
      </c>
      <c r="B88" s="50"/>
      <c r="C88" s="43"/>
      <c r="D88" s="43"/>
      <c r="E88" s="44"/>
      <c r="F88" s="44"/>
      <c r="G88" s="44"/>
      <c r="H88" s="45"/>
      <c r="I88" s="54"/>
      <c r="J88" s="47" t="str">
        <f>IF(OR(K88="ERREUR",L88="ERREUR",M88="ERREUR",N88="ERREUR",O88="ERREUR",P88="ERREUR",Q88="ERREUR"),"ERREUR",IF(AND(K88="",L88="",M88="",N88="",O88="",P88="",Q88=""),"ligne vide",IF(OR(K88="",L88="",M88="",N88="",O88="",P88="",Q88=""),"ligne incomplète","Valide")))</f>
        <v xml:space="preserve">ligne vide</v>
      </c>
      <c r="K88" s="48" t="str">
        <f>IF(ISBLANK(B88),IF(ISBLANK(B89),T(B88),"ERREUR"),IF(ISNUMBER(B88),_xlfn.NUMBERVALUE(B88),IF(ISTEXT(B88),VALUE(B88),"ERREUR")))</f>
        <v/>
      </c>
      <c r="L88" s="38" t="str">
        <f>IF(COUNTIF($R$4:$R$6,C88)&gt;0,C88,IF(ISBLANK(C88),IF(ISBLANK(D88),T(C88),"ERREUR"),"ERREUR"))</f>
        <v/>
      </c>
      <c r="M88" s="49" t="str">
        <f>IF(ISBLANK(D88),IF(ISBLANK(D89),T(D88),"ERREUR"),IF(COUNTIF($T$4:$T$240,SUBSTITUTE(SUBSTITUTE(SUBSTITUTE(SUBSTITUTE(SUBSTITUTE(SUBSTITUTE(UPPER(D88),"Å","A"),"É","E"),"È","E"),"Ê","E"),"Î","I"),"Ï","I"))&gt;0,D88,IF(ISBLANK(D88),T(D88),"ERREUR")))</f>
        <v/>
      </c>
      <c r="N88" s="38" t="str">
        <f>IF(COUNTIF($V$4:$V$6,E88)&gt;0,E88,IF(ISBLANK(E88),IF(ISBLANK(E89),T(E88),"ERREUR"),"ERREUR"))</f>
        <v/>
      </c>
      <c r="O88" s="38" t="str">
        <f>IF(COUNTIF($W$4:$W$5,F88)&gt;0,F88,IF(ISBLANK(F88),IF(ISBLANK(F89),T(F88),"ERREUR"),"ERREUR"))</f>
        <v/>
      </c>
      <c r="P88" s="38" t="str">
        <f>IF(COUNTIF($X$4:$X$8,G88)&gt;0,G88,IF(ISBLANK(G88),IF(ISBLANK(G89),T(G88),"ERREUR"),"ERREUR"))</f>
        <v/>
      </c>
      <c r="Q88" s="38" t="str">
        <f>IF(ISNUMBER(H88),IF(INT(H88)=H88,H88,"ERREUR"),IF(ISBLANK(H88),IF(ISBLANK(H89),T(H88),"ERREUR"),"ERREUR"))</f>
        <v/>
      </c>
      <c r="R88" s="38"/>
      <c r="S88" s="1" t="s">
        <v>217</v>
      </c>
      <c r="T88" s="39" t="s">
        <v>218</v>
      </c>
      <c r="U88" s="38" t="str">
        <f>SUBSTITUTE(SUBSTITUTE(SUBSTITUTE(SUBSTITUTE(SUBSTITUTE(SUBSTITUTE(SUBSTITUTE(SUBSTITUTE(UPPER(S88),"Å","A"),"É","E"),"È","E"),"Ê","E"),"Ë","E"),"Î","I"),"Ï","I"),"Ô","O")</f>
        <v>GUINEE-BISSAU</v>
      </c>
      <c r="V88" s="38"/>
      <c r="W88" s="38"/>
      <c r="X88" s="53"/>
      <c r="Y88" s="42"/>
      <c r="Z88" s="42"/>
      <c r="AA88" s="42"/>
    </row>
    <row r="89" ht="13.75" customHeight="1">
      <c r="A89" s="14" t="s">
        <v>140</v>
      </c>
      <c r="B89" s="50"/>
      <c r="C89" s="43"/>
      <c r="D89" s="43"/>
      <c r="E89" s="44"/>
      <c r="F89" s="44"/>
      <c r="G89" s="44"/>
      <c r="H89" s="45"/>
      <c r="I89" s="54"/>
      <c r="J89" s="47" t="str">
        <f>IF(OR(K89="ERREUR",L89="ERREUR",M89="ERREUR",N89="ERREUR",O89="ERREUR",P89="ERREUR",Q89="ERREUR"),"ERREUR",IF(AND(K89="",L89="",M89="",N89="",O89="",P89="",Q89=""),"ligne vide",IF(OR(K89="",L89="",M89="",N89="",O89="",P89="",Q89=""),"ligne incomplète","Valide")))</f>
        <v xml:space="preserve">ligne vide</v>
      </c>
      <c r="K89" s="48" t="str">
        <f>IF(ISBLANK(B89),IF(ISBLANK(B90),T(B89),"ERREUR"),IF(ISNUMBER(B89),_xlfn.NUMBERVALUE(B89),IF(ISTEXT(B89),VALUE(B89),"ERREUR")))</f>
        <v/>
      </c>
      <c r="L89" s="38" t="str">
        <f>IF(COUNTIF($R$4:$R$6,C89)&gt;0,C89,IF(ISBLANK(C89),IF(ISBLANK(D89),T(C89),"ERREUR"),"ERREUR"))</f>
        <v/>
      </c>
      <c r="M89" s="49" t="str">
        <f>IF(ISBLANK(D89),IF(ISBLANK(D90),T(D89),"ERREUR"),IF(COUNTIF($T$4:$T$240,SUBSTITUTE(SUBSTITUTE(SUBSTITUTE(SUBSTITUTE(SUBSTITUTE(SUBSTITUTE(UPPER(D89),"Å","A"),"É","E"),"È","E"),"Ê","E"),"Î","I"),"Ï","I"))&gt;0,D89,IF(ISBLANK(D89),T(D89),"ERREUR")))</f>
        <v/>
      </c>
      <c r="N89" s="38" t="str">
        <f>IF(COUNTIF($V$4:$V$6,E89)&gt;0,E89,IF(ISBLANK(E89),IF(ISBLANK(E90),T(E89),"ERREUR"),"ERREUR"))</f>
        <v/>
      </c>
      <c r="O89" s="38" t="str">
        <f>IF(COUNTIF($W$4:$W$5,F89)&gt;0,F89,IF(ISBLANK(F89),IF(ISBLANK(F90),T(F89),"ERREUR"),"ERREUR"))</f>
        <v/>
      </c>
      <c r="P89" s="38" t="str">
        <f>IF(COUNTIF($X$4:$X$8,G89)&gt;0,G89,IF(ISBLANK(G89),IF(ISBLANK(G90),T(G89),"ERREUR"),"ERREUR"))</f>
        <v/>
      </c>
      <c r="Q89" s="38" t="str">
        <f>IF(ISNUMBER(H89),IF(INT(H89)=H89,H89,"ERREUR"),IF(ISBLANK(H89),IF(ISBLANK(H90),T(H89),"ERREUR"),"ERREUR"))</f>
        <v/>
      </c>
      <c r="R89" s="38"/>
      <c r="S89" s="1" t="s">
        <v>219</v>
      </c>
      <c r="T89" s="39" t="s">
        <v>220</v>
      </c>
      <c r="U89" s="38" t="str">
        <f>SUBSTITUTE(SUBSTITUTE(SUBSTITUTE(SUBSTITUTE(SUBSTITUTE(SUBSTITUTE(SUBSTITUTE(SUBSTITUTE(UPPER(S89),"Å","A"),"É","E"),"È","E"),"Ê","E"),"Ë","E"),"Î","I"),"Ï","I"),"Ô","O")</f>
        <v>GUYANA</v>
      </c>
      <c r="V89" s="38"/>
      <c r="W89" s="38"/>
      <c r="X89" s="53"/>
      <c r="Y89" s="42"/>
      <c r="Z89" s="42"/>
      <c r="AA89" s="42"/>
    </row>
    <row r="90" ht="13.75" customHeight="1">
      <c r="A90" s="14" t="s">
        <v>140</v>
      </c>
      <c r="B90" s="50"/>
      <c r="C90" s="43"/>
      <c r="D90" s="43"/>
      <c r="E90" s="44"/>
      <c r="F90" s="44"/>
      <c r="G90" s="44"/>
      <c r="H90" s="45"/>
      <c r="I90" s="54"/>
      <c r="J90" s="47" t="str">
        <f>IF(OR(K90="ERREUR",L90="ERREUR",M90="ERREUR",N90="ERREUR",O90="ERREUR",P90="ERREUR",Q90="ERREUR"),"ERREUR",IF(AND(K90="",L90="",M90="",N90="",O90="",P90="",Q90=""),"ligne vide",IF(OR(K90="",L90="",M90="",N90="",O90="",P90="",Q90=""),"ligne incomplète","Valide")))</f>
        <v xml:space="preserve">ligne vide</v>
      </c>
      <c r="K90" s="48" t="str">
        <f>IF(ISBLANK(B90),IF(ISBLANK(B91),T(B90),"ERREUR"),IF(ISNUMBER(B90),_xlfn.NUMBERVALUE(B90),IF(ISTEXT(B90),VALUE(B90),"ERREUR")))</f>
        <v/>
      </c>
      <c r="L90" s="38" t="str">
        <f>IF(COUNTIF($R$4:$R$6,C90)&gt;0,C90,IF(ISBLANK(C90),IF(ISBLANK(D90),T(C90),"ERREUR"),"ERREUR"))</f>
        <v/>
      </c>
      <c r="M90" s="49" t="str">
        <f>IF(ISBLANK(D90),IF(ISBLANK(D91),T(D90),"ERREUR"),IF(COUNTIF($T$4:$T$240,SUBSTITUTE(SUBSTITUTE(SUBSTITUTE(SUBSTITUTE(SUBSTITUTE(SUBSTITUTE(UPPER(D90),"Å","A"),"É","E"),"È","E"),"Ê","E"),"Î","I"),"Ï","I"))&gt;0,D90,IF(ISBLANK(D90),T(D90),"ERREUR")))</f>
        <v/>
      </c>
      <c r="N90" s="38" t="str">
        <f>IF(COUNTIF($V$4:$V$6,E90)&gt;0,E90,IF(ISBLANK(E90),IF(ISBLANK(E91),T(E90),"ERREUR"),"ERREUR"))</f>
        <v/>
      </c>
      <c r="O90" s="38" t="str">
        <f>IF(COUNTIF($W$4:$W$5,F90)&gt;0,F90,IF(ISBLANK(F90),IF(ISBLANK(F91),T(F90),"ERREUR"),"ERREUR"))</f>
        <v/>
      </c>
      <c r="P90" s="38" t="str">
        <f>IF(COUNTIF($X$4:$X$8,G90)&gt;0,G90,IF(ISBLANK(G90),IF(ISBLANK(G91),T(G90),"ERREUR"),"ERREUR"))</f>
        <v/>
      </c>
      <c r="Q90" s="38" t="str">
        <f>IF(ISNUMBER(H90),IF(INT(H90)=H90,H90,"ERREUR"),IF(ISBLANK(H90),IF(ISBLANK(H91),T(H90),"ERREUR"),"ERREUR"))</f>
        <v/>
      </c>
      <c r="R90" s="38"/>
      <c r="S90" s="1" t="s">
        <v>221</v>
      </c>
      <c r="T90" s="39" t="s">
        <v>222</v>
      </c>
      <c r="U90" s="38" t="str">
        <f>SUBSTITUTE(SUBSTITUTE(SUBSTITUTE(SUBSTITUTE(SUBSTITUTE(SUBSTITUTE(SUBSTITUTE(SUBSTITUTE(UPPER(S90),"Å","A"),"É","E"),"È","E"),"Ê","E"),"Ë","E"),"Î","I"),"Ï","I"),"Ô","O")</f>
        <v>HAITI</v>
      </c>
      <c r="V90" s="38"/>
      <c r="W90" s="38"/>
      <c r="X90" s="53"/>
      <c r="Y90" s="42"/>
      <c r="Z90" s="42"/>
      <c r="AA90" s="42"/>
    </row>
    <row r="91" ht="13.75" customHeight="1">
      <c r="A91" s="14" t="s">
        <v>140</v>
      </c>
      <c r="B91" s="50"/>
      <c r="C91" s="43"/>
      <c r="D91" s="43"/>
      <c r="E91" s="44"/>
      <c r="F91" s="44"/>
      <c r="G91" s="44"/>
      <c r="H91" s="45"/>
      <c r="I91" s="54"/>
      <c r="J91" s="47" t="str">
        <f>IF(OR(K91="ERREUR",L91="ERREUR",M91="ERREUR",N91="ERREUR",O91="ERREUR",P91="ERREUR",Q91="ERREUR"),"ERREUR",IF(AND(K91="",L91="",M91="",N91="",O91="",P91="",Q91=""),"ligne vide",IF(OR(K91="",L91="",M91="",N91="",O91="",P91="",Q91=""),"ligne incomplète","Valide")))</f>
        <v xml:space="preserve">ligne vide</v>
      </c>
      <c r="K91" s="48" t="str">
        <f>IF(ISBLANK(B91),IF(ISBLANK(B92),T(B91),"ERREUR"),IF(ISNUMBER(B91),_xlfn.NUMBERVALUE(B91),IF(ISTEXT(B91),VALUE(B91),"ERREUR")))</f>
        <v/>
      </c>
      <c r="L91" s="38" t="str">
        <f>IF(COUNTIF($R$4:$R$6,C91)&gt;0,C91,IF(ISBLANK(C91),IF(ISBLANK(D91),T(C91),"ERREUR"),"ERREUR"))</f>
        <v/>
      </c>
      <c r="M91" s="49" t="str">
        <f>IF(ISBLANK(D91),IF(ISBLANK(D92),T(D91),"ERREUR"),IF(COUNTIF($T$4:$T$240,SUBSTITUTE(SUBSTITUTE(SUBSTITUTE(SUBSTITUTE(SUBSTITUTE(SUBSTITUTE(UPPER(D91),"Å","A"),"É","E"),"È","E"),"Ê","E"),"Î","I"),"Ï","I"))&gt;0,D91,IF(ISBLANK(D91),T(D91),"ERREUR")))</f>
        <v/>
      </c>
      <c r="N91" s="38" t="str">
        <f>IF(COUNTIF($V$4:$V$6,E91)&gt;0,E91,IF(ISBLANK(E91),IF(ISBLANK(E92),T(E91),"ERREUR"),"ERREUR"))</f>
        <v/>
      </c>
      <c r="O91" s="38" t="str">
        <f>IF(COUNTIF($W$4:$W$5,F91)&gt;0,F91,IF(ISBLANK(F91),IF(ISBLANK(F92),T(F91),"ERREUR"),"ERREUR"))</f>
        <v/>
      </c>
      <c r="P91" s="38" t="str">
        <f>IF(COUNTIF($X$4:$X$8,G91)&gt;0,G91,IF(ISBLANK(G91),IF(ISBLANK(G92),T(G91),"ERREUR"),"ERREUR"))</f>
        <v/>
      </c>
      <c r="Q91" s="38" t="str">
        <f>IF(ISNUMBER(H91),IF(INT(H91)=H91,H91,"ERREUR"),IF(ISBLANK(H91),IF(ISBLANK(H92),T(H91),"ERREUR"),"ERREUR"))</f>
        <v/>
      </c>
      <c r="R91" s="38"/>
      <c r="S91" s="1" t="s">
        <v>223</v>
      </c>
      <c r="T91" s="39" t="s">
        <v>224</v>
      </c>
      <c r="U91" s="38" t="str">
        <f>SUBSTITUTE(SUBSTITUTE(SUBSTITUTE(SUBSTITUTE(SUBSTITUTE(SUBSTITUTE(SUBSTITUTE(SUBSTITUTE(UPPER(S91),"Å","A"),"É","E"),"È","E"),"Ê","E"),"Ë","E"),"Î","I"),"Ï","I"),"Ô","O")</f>
        <v>HONDURAS</v>
      </c>
      <c r="V91" s="38"/>
      <c r="W91" s="38"/>
      <c r="X91" s="53"/>
      <c r="Y91" s="42"/>
      <c r="Z91" s="42"/>
      <c r="AA91" s="42"/>
    </row>
    <row r="92" ht="13.75" customHeight="1">
      <c r="A92" s="14" t="s">
        <v>140</v>
      </c>
      <c r="B92" s="50"/>
      <c r="C92" s="43"/>
      <c r="D92" s="43"/>
      <c r="E92" s="44"/>
      <c r="F92" s="44"/>
      <c r="G92" s="44"/>
      <c r="H92" s="45"/>
      <c r="I92" s="54"/>
      <c r="J92" s="47" t="str">
        <f>IF(OR(K92="ERREUR",L92="ERREUR",M92="ERREUR",N92="ERREUR",O92="ERREUR",P92="ERREUR",Q92="ERREUR"),"ERREUR",IF(AND(K92="",L92="",M92="",N92="",O92="",P92="",Q92=""),"ligne vide",IF(OR(K92="",L92="",M92="",N92="",O92="",P92="",Q92=""),"ligne incomplète","Valide")))</f>
        <v xml:space="preserve">ligne vide</v>
      </c>
      <c r="K92" s="48" t="str">
        <f>IF(ISBLANK(B92),IF(ISBLANK(B93),T(B92),"ERREUR"),IF(ISNUMBER(B92),_xlfn.NUMBERVALUE(B92),IF(ISTEXT(B92),VALUE(B92),"ERREUR")))</f>
        <v/>
      </c>
      <c r="L92" s="38" t="str">
        <f>IF(COUNTIF($R$4:$R$6,C92)&gt;0,C92,IF(ISBLANK(C92),IF(ISBLANK(D92),T(C92),"ERREUR"),"ERREUR"))</f>
        <v/>
      </c>
      <c r="M92" s="49" t="str">
        <f>IF(ISBLANK(D92),IF(ISBLANK(D93),T(D92),"ERREUR"),IF(COUNTIF($T$4:$T$240,SUBSTITUTE(SUBSTITUTE(SUBSTITUTE(SUBSTITUTE(SUBSTITUTE(SUBSTITUTE(UPPER(D92),"Å","A"),"É","E"),"È","E"),"Ê","E"),"Î","I"),"Ï","I"))&gt;0,D92,IF(ISBLANK(D92),T(D92),"ERREUR")))</f>
        <v/>
      </c>
      <c r="N92" s="38" t="str">
        <f>IF(COUNTIF($V$4:$V$6,E92)&gt;0,E92,IF(ISBLANK(E92),IF(ISBLANK(E93),T(E92),"ERREUR"),"ERREUR"))</f>
        <v/>
      </c>
      <c r="O92" s="38" t="str">
        <f>IF(COUNTIF($W$4:$W$5,F92)&gt;0,F92,IF(ISBLANK(F92),IF(ISBLANK(F93),T(F92),"ERREUR"),"ERREUR"))</f>
        <v/>
      </c>
      <c r="P92" s="38" t="str">
        <f>IF(COUNTIF($X$4:$X$8,G92)&gt;0,G92,IF(ISBLANK(G92),IF(ISBLANK(G93),T(G92),"ERREUR"),"ERREUR"))</f>
        <v/>
      </c>
      <c r="Q92" s="38" t="str">
        <f>IF(ISNUMBER(H92),IF(INT(H92)=H92,H92,"ERREUR"),IF(ISBLANK(H92),IF(ISBLANK(H93),T(H92),"ERREUR"),"ERREUR"))</f>
        <v/>
      </c>
      <c r="R92" s="38"/>
      <c r="S92" s="1" t="s">
        <v>225</v>
      </c>
      <c r="T92" s="39" t="s">
        <v>226</v>
      </c>
      <c r="U92" s="38" t="str">
        <f>SUBSTITUTE(SUBSTITUTE(SUBSTITUTE(SUBSTITUTE(SUBSTITUTE(SUBSTITUTE(SUBSTITUTE(SUBSTITUTE(UPPER(S92),"Å","A"),"É","E"),"È","E"),"Ê","E"),"Ë","E"),"Î","I"),"Ï","I"),"Ô","O")</f>
        <v xml:space="preserve">HONG KONG</v>
      </c>
      <c r="V92" s="38"/>
      <c r="W92" s="38"/>
      <c r="X92" s="53"/>
      <c r="Y92" s="42"/>
      <c r="Z92" s="42"/>
      <c r="AA92" s="42"/>
    </row>
    <row r="93" ht="13.75" customHeight="1">
      <c r="A93" s="14" t="s">
        <v>140</v>
      </c>
      <c r="B93" s="50"/>
      <c r="C93" s="43"/>
      <c r="D93" s="43"/>
      <c r="E93" s="44"/>
      <c r="F93" s="44"/>
      <c r="G93" s="44"/>
      <c r="H93" s="45"/>
      <c r="I93" s="54"/>
      <c r="J93" s="47" t="str">
        <f>IF(OR(K93="ERREUR",L93="ERREUR",M93="ERREUR",N93="ERREUR",O93="ERREUR",P93="ERREUR",Q93="ERREUR"),"ERREUR",IF(AND(K93="",L93="",M93="",N93="",O93="",P93="",Q93=""),"ligne vide",IF(OR(K93="",L93="",M93="",N93="",O93="",P93="",Q93=""),"ligne incomplète","Valide")))</f>
        <v xml:space="preserve">ligne vide</v>
      </c>
      <c r="K93" s="48" t="str">
        <f>IF(ISBLANK(B93),IF(ISBLANK(B94),T(B93),"ERREUR"),IF(ISNUMBER(B93),_xlfn.NUMBERVALUE(B93),IF(ISTEXT(B93),VALUE(B93),"ERREUR")))</f>
        <v/>
      </c>
      <c r="L93" s="38" t="str">
        <f>IF(COUNTIF($R$4:$R$6,C93)&gt;0,C93,IF(ISBLANK(C93),IF(ISBLANK(D93),T(C93),"ERREUR"),"ERREUR"))</f>
        <v/>
      </c>
      <c r="M93" s="49" t="str">
        <f>IF(ISBLANK(D93),IF(ISBLANK(D94),T(D93),"ERREUR"),IF(COUNTIF($T$4:$T$240,SUBSTITUTE(SUBSTITUTE(SUBSTITUTE(SUBSTITUTE(SUBSTITUTE(SUBSTITUTE(UPPER(D93),"Å","A"),"É","E"),"È","E"),"Ê","E"),"Î","I"),"Ï","I"))&gt;0,D93,IF(ISBLANK(D93),T(D93),"ERREUR")))</f>
        <v/>
      </c>
      <c r="N93" s="38" t="str">
        <f>IF(COUNTIF($V$4:$V$6,E93)&gt;0,E93,IF(ISBLANK(E93),IF(ISBLANK(E94),T(E93),"ERREUR"),"ERREUR"))</f>
        <v/>
      </c>
      <c r="O93" s="38" t="str">
        <f>IF(COUNTIF($W$4:$W$5,F93)&gt;0,F93,IF(ISBLANK(F93),IF(ISBLANK(F94),T(F93),"ERREUR"),"ERREUR"))</f>
        <v/>
      </c>
      <c r="P93" s="38" t="str">
        <f>IF(COUNTIF($X$4:$X$8,G93)&gt;0,G93,IF(ISBLANK(G93),IF(ISBLANK(G94),T(G93),"ERREUR"),"ERREUR"))</f>
        <v/>
      </c>
      <c r="Q93" s="38" t="str">
        <f>IF(ISNUMBER(H93),IF(INT(H93)=H93,H93,"ERREUR"),IF(ISBLANK(H93),IF(ISBLANK(H94),T(H93),"ERREUR"),"ERREUR"))</f>
        <v/>
      </c>
      <c r="R93" s="38"/>
      <c r="S93" s="1" t="s">
        <v>227</v>
      </c>
      <c r="T93" s="39" t="s">
        <v>228</v>
      </c>
      <c r="U93" s="38" t="str">
        <f>SUBSTITUTE(SUBSTITUTE(SUBSTITUTE(SUBSTITUTE(SUBSTITUTE(SUBSTITUTE(SUBSTITUTE(SUBSTITUTE(UPPER(S93),"Å","A"),"É","E"),"È","E"),"Ê","E"),"Ë","E"),"Î","I"),"Ï","I"),"Ô","O")</f>
        <v>HONGRIE</v>
      </c>
      <c r="V93" s="38"/>
      <c r="W93" s="38"/>
      <c r="X93" s="53"/>
      <c r="Y93" s="42"/>
      <c r="Z93" s="42"/>
      <c r="AA93" s="42"/>
    </row>
    <row r="94" ht="13.75" customHeight="1">
      <c r="A94" s="14" t="s">
        <v>140</v>
      </c>
      <c r="B94" s="50"/>
      <c r="C94" s="43"/>
      <c r="D94" s="43"/>
      <c r="E94" s="44"/>
      <c r="F94" s="44"/>
      <c r="G94" s="44"/>
      <c r="H94" s="45"/>
      <c r="I94" s="54"/>
      <c r="J94" s="47" t="str">
        <f>IF(OR(K94="ERREUR",L94="ERREUR",M94="ERREUR",N94="ERREUR",O94="ERREUR",P94="ERREUR",Q94="ERREUR"),"ERREUR",IF(AND(K94="",L94="",M94="",N94="",O94="",P94="",Q94=""),"ligne vide",IF(OR(K94="",L94="",M94="",N94="",O94="",P94="",Q94=""),"ligne incomplète","Valide")))</f>
        <v xml:space="preserve">ligne vide</v>
      </c>
      <c r="K94" s="48" t="str">
        <f>IF(ISBLANK(B94),IF(ISBLANK(B95),T(B94),"ERREUR"),IF(ISNUMBER(B94),_xlfn.NUMBERVALUE(B94),IF(ISTEXT(B94),VALUE(B94),"ERREUR")))</f>
        <v/>
      </c>
      <c r="L94" s="38" t="str">
        <f>IF(COUNTIF($R$4:$R$6,C94)&gt;0,C94,IF(ISBLANK(C94),IF(ISBLANK(D94),T(C94),"ERREUR"),"ERREUR"))</f>
        <v/>
      </c>
      <c r="M94" s="49" t="str">
        <f>IF(ISBLANK(D94),IF(ISBLANK(D95),T(D94),"ERREUR"),IF(COUNTIF($T$4:$T$240,SUBSTITUTE(SUBSTITUTE(SUBSTITUTE(SUBSTITUTE(SUBSTITUTE(SUBSTITUTE(UPPER(D94),"Å","A"),"É","E"),"È","E"),"Ê","E"),"Î","I"),"Ï","I"))&gt;0,D94,IF(ISBLANK(D94),T(D94),"ERREUR")))</f>
        <v/>
      </c>
      <c r="N94" s="38" t="str">
        <f>IF(COUNTIF($V$4:$V$6,E94)&gt;0,E94,IF(ISBLANK(E94),IF(ISBLANK(E95),T(E94),"ERREUR"),"ERREUR"))</f>
        <v/>
      </c>
      <c r="O94" s="38" t="str">
        <f>IF(COUNTIF($W$4:$W$5,F94)&gt;0,F94,IF(ISBLANK(F94),IF(ISBLANK(F95),T(F94),"ERREUR"),"ERREUR"))</f>
        <v/>
      </c>
      <c r="P94" s="38" t="str">
        <f>IF(COUNTIF($X$4:$X$8,G94)&gt;0,G94,IF(ISBLANK(G94),IF(ISBLANK(G95),T(G94),"ERREUR"),"ERREUR"))</f>
        <v/>
      </c>
      <c r="Q94" s="38" t="str">
        <f>IF(ISNUMBER(H94),IF(INT(H94)=H94,H94,"ERREUR"),IF(ISBLANK(H94),IF(ISBLANK(H95),T(H94),"ERREUR"),"ERREUR"))</f>
        <v/>
      </c>
      <c r="R94" s="38"/>
      <c r="S94" s="1" t="s">
        <v>229</v>
      </c>
      <c r="T94" s="39" t="s">
        <v>230</v>
      </c>
      <c r="U94" s="38" t="str">
        <f>SUBSTITUTE(SUBSTITUTE(SUBSTITUTE(SUBSTITUTE(SUBSTITUTE(SUBSTITUTE(SUBSTITUTE(SUBSTITUTE(UPPER(S94),"Å","A"),"É","E"),"È","E"),"Ê","E"),"Ë","E"),"Î","I"),"Ï","I"),"Ô","O")</f>
        <v xml:space="preserve">ILE BOUVET</v>
      </c>
      <c r="V94" s="38"/>
      <c r="W94" s="38"/>
      <c r="X94" s="53"/>
      <c r="Y94" s="42"/>
      <c r="Z94" s="42"/>
      <c r="AA94" s="42"/>
    </row>
    <row r="95" ht="13.75" customHeight="1">
      <c r="A95" s="14" t="s">
        <v>140</v>
      </c>
      <c r="B95" s="50"/>
      <c r="C95" s="43"/>
      <c r="D95" s="43"/>
      <c r="E95" s="44"/>
      <c r="F95" s="44"/>
      <c r="G95" s="44"/>
      <c r="H95" s="45"/>
      <c r="I95" s="54"/>
      <c r="J95" s="47" t="str">
        <f>IF(OR(K95="ERREUR",L95="ERREUR",M95="ERREUR",N95="ERREUR",O95="ERREUR",P95="ERREUR",Q95="ERREUR"),"ERREUR",IF(AND(K95="",L95="",M95="",N95="",O95="",P95="",Q95=""),"ligne vide",IF(OR(K95="",L95="",M95="",N95="",O95="",P95="",Q95=""),"ligne incomplète","Valide")))</f>
        <v xml:space="preserve">ligne vide</v>
      </c>
      <c r="K95" s="48" t="str">
        <f>IF(ISBLANK(B95),IF(ISBLANK(B96),T(B95),"ERREUR"),IF(ISNUMBER(B95),_xlfn.NUMBERVALUE(B95),IF(ISTEXT(B95),VALUE(B95),"ERREUR")))</f>
        <v/>
      </c>
      <c r="L95" s="38" t="str">
        <f>IF(COUNTIF($R$4:$R$6,C95)&gt;0,C95,IF(ISBLANK(C95),IF(ISBLANK(D95),T(C95),"ERREUR"),"ERREUR"))</f>
        <v/>
      </c>
      <c r="M95" s="49" t="str">
        <f>IF(ISBLANK(D95),IF(ISBLANK(D96),T(D95),"ERREUR"),IF(COUNTIF($T$4:$T$240,SUBSTITUTE(SUBSTITUTE(SUBSTITUTE(SUBSTITUTE(SUBSTITUTE(SUBSTITUTE(UPPER(D95),"Å","A"),"É","E"),"È","E"),"Ê","E"),"Î","I"),"Ï","I"))&gt;0,D95,IF(ISBLANK(D95),T(D95),"ERREUR")))</f>
        <v/>
      </c>
      <c r="N95" s="38" t="str">
        <f>IF(COUNTIF($V$4:$V$6,E95)&gt;0,E95,IF(ISBLANK(E95),IF(ISBLANK(E96),T(E95),"ERREUR"),"ERREUR"))</f>
        <v/>
      </c>
      <c r="O95" s="38" t="str">
        <f>IF(COUNTIF($W$4:$W$5,F95)&gt;0,F95,IF(ISBLANK(F95),IF(ISBLANK(F96),T(F95),"ERREUR"),"ERREUR"))</f>
        <v/>
      </c>
      <c r="P95" s="38" t="str">
        <f>IF(COUNTIF($X$4:$X$8,G95)&gt;0,G95,IF(ISBLANK(G95),IF(ISBLANK(G96),T(G95),"ERREUR"),"ERREUR"))</f>
        <v/>
      </c>
      <c r="Q95" s="38" t="str">
        <f>IF(ISNUMBER(H95),IF(INT(H95)=H95,H95,"ERREUR"),IF(ISBLANK(H95),IF(ISBLANK(H96),T(H95),"ERREUR"),"ERREUR"))</f>
        <v/>
      </c>
      <c r="R95" s="38"/>
      <c r="S95" s="1" t="s">
        <v>231</v>
      </c>
      <c r="T95" s="39" t="s">
        <v>232</v>
      </c>
      <c r="U95" s="38" t="str">
        <f>SUBSTITUTE(SUBSTITUTE(SUBSTITUTE(SUBSTITUTE(SUBSTITUTE(SUBSTITUTE(SUBSTITUTE(SUBSTITUTE(UPPER(S95),"Å","A"),"É","E"),"È","E"),"Ê","E"),"Ë","E"),"Î","I"),"Ï","I"),"Ô","O")</f>
        <v xml:space="preserve">ILE NORFOLK</v>
      </c>
      <c r="V95" s="38"/>
      <c r="W95" s="38"/>
      <c r="X95" s="53"/>
      <c r="Y95" s="42"/>
      <c r="Z95" s="42"/>
      <c r="AA95" s="42"/>
    </row>
    <row r="96" ht="13.75" customHeight="1">
      <c r="A96" s="14" t="s">
        <v>140</v>
      </c>
      <c r="B96" s="50"/>
      <c r="C96" s="43"/>
      <c r="D96" s="43"/>
      <c r="E96" s="44"/>
      <c r="F96" s="44"/>
      <c r="G96" s="44"/>
      <c r="H96" s="45"/>
      <c r="I96" s="54"/>
      <c r="J96" s="47" t="str">
        <f>IF(OR(K96="ERREUR",L96="ERREUR",M96="ERREUR",N96="ERREUR",O96="ERREUR",P96="ERREUR",Q96="ERREUR"),"ERREUR",IF(AND(K96="",L96="",M96="",N96="",O96="",P96="",Q96=""),"ligne vide",IF(OR(K96="",L96="",M96="",N96="",O96="",P96="",Q96=""),"ligne incomplète","Valide")))</f>
        <v xml:space="preserve">ligne vide</v>
      </c>
      <c r="K96" s="48" t="str">
        <f>IF(ISBLANK(B96),IF(ISBLANK(B97),T(B96),"ERREUR"),IF(ISNUMBER(B96),_xlfn.NUMBERVALUE(B96),IF(ISTEXT(B96),VALUE(B96),"ERREUR")))</f>
        <v/>
      </c>
      <c r="L96" s="38" t="str">
        <f>IF(COUNTIF($R$4:$R$6,C96)&gt;0,C96,IF(ISBLANK(C96),IF(ISBLANK(D96),T(C96),"ERREUR"),"ERREUR"))</f>
        <v/>
      </c>
      <c r="M96" s="49" t="str">
        <f>IF(ISBLANK(D96),IF(ISBLANK(D97),T(D96),"ERREUR"),IF(COUNTIF($T$4:$T$240,SUBSTITUTE(SUBSTITUTE(SUBSTITUTE(SUBSTITUTE(SUBSTITUTE(SUBSTITUTE(UPPER(D96),"Å","A"),"É","E"),"È","E"),"Ê","E"),"Î","I"),"Ï","I"))&gt;0,D96,IF(ISBLANK(D96),T(D96),"ERREUR")))</f>
        <v/>
      </c>
      <c r="N96" s="38" t="str">
        <f>IF(COUNTIF($V$4:$V$6,E96)&gt;0,E96,IF(ISBLANK(E96),IF(ISBLANK(E97),T(E96),"ERREUR"),"ERREUR"))</f>
        <v/>
      </c>
      <c r="O96" s="38" t="str">
        <f>IF(COUNTIF($W$4:$W$5,F96)&gt;0,F96,IF(ISBLANK(F96),IF(ISBLANK(F97),T(F96),"ERREUR"),"ERREUR"))</f>
        <v/>
      </c>
      <c r="P96" s="38" t="str">
        <f>IF(COUNTIF($X$4:$X$8,G96)&gt;0,G96,IF(ISBLANK(G96),IF(ISBLANK(G97),T(G96),"ERREUR"),"ERREUR"))</f>
        <v/>
      </c>
      <c r="Q96" s="38" t="str">
        <f>IF(ISNUMBER(H96),IF(INT(H96)=H96,H96,"ERREUR"),IF(ISBLANK(H96),IF(ISBLANK(H97),T(H96),"ERREUR"),"ERREUR"))</f>
        <v/>
      </c>
      <c r="R96" s="38"/>
      <c r="S96" s="1" t="s">
        <v>233</v>
      </c>
      <c r="T96" s="39" t="s">
        <v>234</v>
      </c>
      <c r="U96" s="38" t="str">
        <f>SUBSTITUTE(SUBSTITUTE(SUBSTITUTE(SUBSTITUTE(SUBSTITUTE(SUBSTITUTE(SUBSTITUTE(SUBSTITUTE(UPPER(S96),"Å","A"),"É","E"),"È","E"),"Ê","E"),"Ë","E"),"Î","I"),"Ï","I"),"Ô","O")</f>
        <v xml:space="preserve">ILE DE MAN</v>
      </c>
      <c r="V96" s="38"/>
      <c r="W96" s="38"/>
      <c r="X96" s="53"/>
      <c r="Y96" s="42"/>
      <c r="Z96" s="42"/>
      <c r="AA96" s="42"/>
    </row>
    <row r="97" ht="13.75" customHeight="1">
      <c r="A97" s="14" t="s">
        <v>140</v>
      </c>
      <c r="B97" s="50"/>
      <c r="C97" s="43"/>
      <c r="D97" s="43"/>
      <c r="E97" s="44"/>
      <c r="F97" s="44"/>
      <c r="G97" s="44"/>
      <c r="H97" s="45"/>
      <c r="I97" s="54"/>
      <c r="J97" s="47" t="str">
        <f>IF(OR(K97="ERREUR",L97="ERREUR",M97="ERREUR",N97="ERREUR",O97="ERREUR",P97="ERREUR",Q97="ERREUR"),"ERREUR",IF(AND(K97="",L97="",M97="",N97="",O97="",P97="",Q97=""),"ligne vide",IF(OR(K97="",L97="",M97="",N97="",O97="",P97="",Q97=""),"ligne incomplète","Valide")))</f>
        <v xml:space="preserve">ligne vide</v>
      </c>
      <c r="K97" s="48" t="str">
        <f>IF(ISBLANK(B97),IF(ISBLANK(B98),T(B97),"ERREUR"),IF(ISNUMBER(B97),_xlfn.NUMBERVALUE(B97),IF(ISTEXT(B97),VALUE(B97),"ERREUR")))</f>
        <v/>
      </c>
      <c r="L97" s="38" t="str">
        <f>IF(COUNTIF($R$4:$R$6,C97)&gt;0,C97,IF(ISBLANK(C97),IF(ISBLANK(D97),T(C97),"ERREUR"),"ERREUR"))</f>
        <v/>
      </c>
      <c r="M97" s="49" t="str">
        <f>IF(ISBLANK(D97),IF(ISBLANK(D98),T(D97),"ERREUR"),IF(COUNTIF($T$4:$T$240,SUBSTITUTE(SUBSTITUTE(SUBSTITUTE(SUBSTITUTE(SUBSTITUTE(SUBSTITUTE(UPPER(D97),"Å","A"),"É","E"),"È","E"),"Ê","E"),"Î","I"),"Ï","I"))&gt;0,D97,IF(ISBLANK(D97),T(D97),"ERREUR")))</f>
        <v/>
      </c>
      <c r="N97" s="38" t="str">
        <f>IF(COUNTIF($V$4:$V$6,E97)&gt;0,E97,IF(ISBLANK(E97),IF(ISBLANK(E98),T(E97),"ERREUR"),"ERREUR"))</f>
        <v/>
      </c>
      <c r="O97" s="38" t="str">
        <f>IF(COUNTIF($W$4:$W$5,F97)&gt;0,F97,IF(ISBLANK(F97),IF(ISBLANK(F98),T(F97),"ERREUR"),"ERREUR"))</f>
        <v/>
      </c>
      <c r="P97" s="38" t="str">
        <f>IF(COUNTIF($X$4:$X$8,G97)&gt;0,G97,IF(ISBLANK(G97),IF(ISBLANK(G98),T(G97),"ERREUR"),"ERREUR"))</f>
        <v/>
      </c>
      <c r="Q97" s="38" t="str">
        <f>IF(ISNUMBER(H97),IF(INT(H97)=H97,H97,"ERREUR"),IF(ISBLANK(H97),IF(ISBLANK(H98),T(H97),"ERREUR"),"ERREUR"))</f>
        <v/>
      </c>
      <c r="R97" s="38"/>
      <c r="S97" s="1" t="s">
        <v>235</v>
      </c>
      <c r="T97" s="39" t="s">
        <v>236</v>
      </c>
      <c r="U97" s="38" t="str">
        <f>SUBSTITUTE(SUBSTITUTE(SUBSTITUTE(SUBSTITUTE(SUBSTITUTE(SUBSTITUTE(SUBSTITUTE(SUBSTITUTE(UPPER(S97),"Å","A"),"É","E"),"È","E"),"Ê","E"),"Ë","E"),"Î","I"),"Ï","I"),"Ô","O")</f>
        <v xml:space="preserve">ILES CAIMANS</v>
      </c>
      <c r="V97" s="38"/>
      <c r="W97" s="38"/>
      <c r="X97" s="53"/>
      <c r="Y97" s="42"/>
      <c r="Z97" s="42"/>
      <c r="AA97" s="42"/>
    </row>
    <row r="98" ht="13.75" customHeight="1">
      <c r="A98" s="14" t="s">
        <v>140</v>
      </c>
      <c r="B98" s="50"/>
      <c r="C98" s="43"/>
      <c r="D98" s="43"/>
      <c r="E98" s="44"/>
      <c r="F98" s="44"/>
      <c r="G98" s="44"/>
      <c r="H98" s="45"/>
      <c r="I98" s="54"/>
      <c r="J98" s="47" t="str">
        <f>IF(OR(K98="ERREUR",L98="ERREUR",M98="ERREUR",N98="ERREUR",O98="ERREUR",P98="ERREUR",Q98="ERREUR"),"ERREUR",IF(AND(K98="",L98="",M98="",N98="",O98="",P98="",Q98=""),"ligne vide",IF(OR(K98="",L98="",M98="",N98="",O98="",P98="",Q98=""),"ligne incomplète","Valide")))</f>
        <v xml:space="preserve">ligne vide</v>
      </c>
      <c r="K98" s="48" t="str">
        <f>IF(ISBLANK(B98),IF(ISBLANK(B99),T(B98),"ERREUR"),IF(ISNUMBER(B98),_xlfn.NUMBERVALUE(B98),IF(ISTEXT(B98),VALUE(B98),"ERREUR")))</f>
        <v/>
      </c>
      <c r="L98" s="38" t="str">
        <f>IF(COUNTIF($R$4:$R$6,C98)&gt;0,C98,IF(ISBLANK(C98),IF(ISBLANK(D98),T(C98),"ERREUR"),"ERREUR"))</f>
        <v/>
      </c>
      <c r="M98" s="49" t="str">
        <f>IF(ISBLANK(D98),IF(ISBLANK(D99),T(D98),"ERREUR"),IF(COUNTIF($T$4:$T$240,SUBSTITUTE(SUBSTITUTE(SUBSTITUTE(SUBSTITUTE(SUBSTITUTE(SUBSTITUTE(UPPER(D98),"Å","A"),"É","E"),"È","E"),"Ê","E"),"Î","I"),"Ï","I"))&gt;0,D98,IF(ISBLANK(D98),T(D98),"ERREUR")))</f>
        <v/>
      </c>
      <c r="N98" s="38" t="str">
        <f>IF(COUNTIF($V$4:$V$6,E98)&gt;0,E98,IF(ISBLANK(E98),IF(ISBLANK(E99),T(E98),"ERREUR"),"ERREUR"))</f>
        <v/>
      </c>
      <c r="O98" s="38" t="str">
        <f>IF(COUNTIF($W$4:$W$5,F98)&gt;0,F98,IF(ISBLANK(F98),IF(ISBLANK(F99),T(F98),"ERREUR"),"ERREUR"))</f>
        <v/>
      </c>
      <c r="P98" s="38" t="str">
        <f>IF(COUNTIF($X$4:$X$8,G98)&gt;0,G98,IF(ISBLANK(G98),IF(ISBLANK(G99),T(G98),"ERREUR"),"ERREUR"))</f>
        <v/>
      </c>
      <c r="Q98" s="38" t="str">
        <f>IF(ISNUMBER(H98),IF(INT(H98)=H98,H98,"ERREUR"),IF(ISBLANK(H98),IF(ISBLANK(H99),T(H98),"ERREUR"),"ERREUR"))</f>
        <v/>
      </c>
      <c r="R98" s="38"/>
      <c r="S98" s="1" t="s">
        <v>237</v>
      </c>
      <c r="T98" s="39" t="s">
        <v>238</v>
      </c>
      <c r="U98" s="38" t="str">
        <f>SUBSTITUTE(SUBSTITUTE(SUBSTITUTE(SUBSTITUTE(SUBSTITUTE(SUBSTITUTE(SUBSTITUTE(SUBSTITUTE(UPPER(S98),"Å","A"),"É","E"),"È","E"),"Ê","E"),"Ë","E"),"Î","I"),"Ï","I"),"Ô","O")</f>
        <v xml:space="preserve">ILES COOK</v>
      </c>
      <c r="V98" s="38"/>
      <c r="W98" s="38"/>
      <c r="X98" s="53"/>
      <c r="Y98" s="42"/>
      <c r="Z98" s="42"/>
      <c r="AA98" s="42"/>
    </row>
    <row r="99" ht="13.75" customHeight="1">
      <c r="A99" s="14" t="s">
        <v>140</v>
      </c>
      <c r="B99" s="50"/>
      <c r="C99" s="43"/>
      <c r="D99" s="43"/>
      <c r="E99" s="44"/>
      <c r="F99" s="44"/>
      <c r="G99" s="44"/>
      <c r="H99" s="45"/>
      <c r="I99" s="54"/>
      <c r="J99" s="47" t="str">
        <f>IF(OR(K99="ERREUR",L99="ERREUR",M99="ERREUR",N99="ERREUR",O99="ERREUR",P99="ERREUR",Q99="ERREUR"),"ERREUR",IF(AND(K99="",L99="",M99="",N99="",O99="",P99="",Q99=""),"ligne vide",IF(OR(K99="",L99="",M99="",N99="",O99="",P99="",Q99=""),"ligne incomplète","Valide")))</f>
        <v xml:space="preserve">ligne vide</v>
      </c>
      <c r="K99" s="48" t="str">
        <f>IF(ISBLANK(B99),IF(ISBLANK(B100),T(B99),"ERREUR"),IF(ISNUMBER(B99),_xlfn.NUMBERVALUE(B99),IF(ISTEXT(B99),VALUE(B99),"ERREUR")))</f>
        <v/>
      </c>
      <c r="L99" s="38" t="str">
        <f>IF(COUNTIF($R$4:$R$6,C99)&gt;0,C99,IF(ISBLANK(C99),IF(ISBLANK(D99),T(C99),"ERREUR"),"ERREUR"))</f>
        <v/>
      </c>
      <c r="M99" s="49" t="str">
        <f>IF(ISBLANK(D99),IF(ISBLANK(D100),T(D99),"ERREUR"),IF(COUNTIF($T$4:$T$240,SUBSTITUTE(SUBSTITUTE(SUBSTITUTE(SUBSTITUTE(SUBSTITUTE(SUBSTITUTE(UPPER(D99),"Å","A"),"É","E"),"È","E"),"Ê","E"),"Î","I"),"Ï","I"))&gt;0,D99,IF(ISBLANK(D99),T(D99),"ERREUR")))</f>
        <v/>
      </c>
      <c r="N99" s="38" t="str">
        <f>IF(COUNTIF($V$4:$V$6,E99)&gt;0,E99,IF(ISBLANK(E99),IF(ISBLANK(E100),T(E99),"ERREUR"),"ERREUR"))</f>
        <v/>
      </c>
      <c r="O99" s="38" t="str">
        <f>IF(COUNTIF($W$4:$W$5,F99)&gt;0,F99,IF(ISBLANK(F99),IF(ISBLANK(F100),T(F99),"ERREUR"),"ERREUR"))</f>
        <v/>
      </c>
      <c r="P99" s="38" t="str">
        <f>IF(COUNTIF($X$4:$X$8,G99)&gt;0,G99,IF(ISBLANK(G99),IF(ISBLANK(G100),T(G99),"ERREUR"),"ERREUR"))</f>
        <v/>
      </c>
      <c r="Q99" s="38" t="str">
        <f>IF(ISNUMBER(H99),IF(INT(H99)=H99,H99,"ERREUR"),IF(ISBLANK(H99),IF(ISBLANK(H100),T(H99),"ERREUR"),"ERREUR"))</f>
        <v/>
      </c>
      <c r="R99" s="38"/>
      <c r="S99" s="1" t="s">
        <v>239</v>
      </c>
      <c r="T99" s="39" t="s">
        <v>240</v>
      </c>
      <c r="U99" s="38" t="str">
        <f>SUBSTITUTE(SUBSTITUTE(SUBSTITUTE(SUBSTITUTE(SUBSTITUTE(SUBSTITUTE(SUBSTITUTE(SUBSTITUTE(UPPER(S99),"Å","A"),"É","E"),"È","E"),"Ê","E"),"Ë","E"),"Î","I"),"Ï","I"),"Ô","O")</f>
        <v xml:space="preserve">ILES FEROE</v>
      </c>
      <c r="V99" s="38"/>
      <c r="W99" s="38"/>
      <c r="X99" s="53"/>
      <c r="Y99" s="42"/>
      <c r="Z99" s="42"/>
      <c r="AA99" s="42"/>
    </row>
    <row r="100" ht="13.75" customHeight="1">
      <c r="A100" s="14" t="s">
        <v>140</v>
      </c>
      <c r="B100" s="50"/>
      <c r="C100" s="43"/>
      <c r="D100" s="43"/>
      <c r="E100" s="44"/>
      <c r="F100" s="44"/>
      <c r="G100" s="44"/>
      <c r="H100" s="45"/>
      <c r="I100" s="54"/>
      <c r="J100" s="47" t="str">
        <f>IF(OR(K100="ERREUR",L100="ERREUR",M100="ERREUR",N100="ERREUR",O100="ERREUR",P100="ERREUR",Q100="ERREUR"),"ERREUR",IF(AND(K100="",L100="",M100="",N100="",O100="",P100="",Q100=""),"ligne vide",IF(OR(K100="",L100="",M100="",N100="",O100="",P100="",Q100=""),"ligne incomplète","Valide")))</f>
        <v xml:space="preserve">ligne vide</v>
      </c>
      <c r="K100" s="48" t="str">
        <f>IF(ISBLANK(B100),IF(ISBLANK(B101),T(B100),"ERREUR"),IF(ISNUMBER(B100),_xlfn.NUMBERVALUE(B100),IF(ISTEXT(B100),VALUE(B100),"ERREUR")))</f>
        <v/>
      </c>
      <c r="L100" s="38" t="str">
        <f>IF(COUNTIF($R$4:$R$6,C100)&gt;0,C100,IF(ISBLANK(C100),IF(ISBLANK(D100),T(C100),"ERREUR"),"ERREUR"))</f>
        <v/>
      </c>
      <c r="M100" s="49" t="str">
        <f>IF(ISBLANK(D100),IF(ISBLANK(D101),T(D100),"ERREUR"),IF(COUNTIF($T$4:$T$240,SUBSTITUTE(SUBSTITUTE(SUBSTITUTE(SUBSTITUTE(SUBSTITUTE(SUBSTITUTE(UPPER(D100),"Å","A"),"É","E"),"È","E"),"Ê","E"),"Î","I"),"Ï","I"))&gt;0,D100,IF(ISBLANK(D100),T(D100),"ERREUR")))</f>
        <v/>
      </c>
      <c r="N100" s="38" t="str">
        <f>IF(COUNTIF($V$4:$V$6,E100)&gt;0,E100,IF(ISBLANK(E100),IF(ISBLANK(E101),T(E100),"ERREUR"),"ERREUR"))</f>
        <v/>
      </c>
      <c r="O100" s="38" t="str">
        <f>IF(COUNTIF($W$4:$W$5,F100)&gt;0,F100,IF(ISBLANK(F100),IF(ISBLANK(F101),T(F100),"ERREUR"),"ERREUR"))</f>
        <v/>
      </c>
      <c r="P100" s="38" t="str">
        <f>IF(COUNTIF($X$4:$X$8,G100)&gt;0,G100,IF(ISBLANK(G100),IF(ISBLANK(G101),T(G100),"ERREUR"),"ERREUR"))</f>
        <v/>
      </c>
      <c r="Q100" s="38" t="str">
        <f>IF(ISNUMBER(H100),IF(INT(H100)=H100,H100,"ERREUR"),IF(ISBLANK(H100),IF(ISBLANK(H101),T(H100),"ERREUR"),"ERREUR"))</f>
        <v/>
      </c>
      <c r="R100" s="38"/>
      <c r="S100" s="1" t="s">
        <v>241</v>
      </c>
      <c r="T100" s="39" t="s">
        <v>242</v>
      </c>
      <c r="U100" s="38" t="str">
        <f>SUBSTITUTE(SUBSTITUTE(SUBSTITUTE(SUBSTITUTE(SUBSTITUTE(SUBSTITUTE(SUBSTITUTE(SUBSTITUTE(UPPER(S100),"Å","A"),"É","E"),"È","E"),"Ê","E"),"Ë","E"),"Î","I"),"Ï","I"),"Ô","O")</f>
        <v xml:space="preserve">ILES HEARD-ET-MACDONALD</v>
      </c>
      <c r="V100" s="38"/>
      <c r="W100" s="38"/>
      <c r="X100" s="53"/>
      <c r="Y100" s="42"/>
      <c r="Z100" s="42"/>
      <c r="AA100" s="42"/>
    </row>
    <row r="101" ht="13.75" customHeight="1">
      <c r="A101" s="14" t="s">
        <v>140</v>
      </c>
      <c r="B101" s="50"/>
      <c r="C101" s="43"/>
      <c r="D101" s="43"/>
      <c r="E101" s="44"/>
      <c r="F101" s="44"/>
      <c r="G101" s="44"/>
      <c r="H101" s="45"/>
      <c r="I101" s="54"/>
      <c r="J101" s="47" t="str">
        <f>IF(OR(K101="ERREUR",L101="ERREUR",M101="ERREUR",N101="ERREUR",O101="ERREUR",P101="ERREUR",Q101="ERREUR"),"ERREUR",IF(AND(K101="",L101="",M101="",N101="",O101="",P101="",Q101=""),"ligne vide",IF(OR(K101="",L101="",M101="",N101="",O101="",P101="",Q101=""),"ligne incomplète","Valide")))</f>
        <v xml:space="preserve">ligne vide</v>
      </c>
      <c r="K101" s="48" t="str">
        <f>IF(ISBLANK(B101),IF(ISBLANK(B102),T(B101),"ERREUR"),IF(ISNUMBER(B101),_xlfn.NUMBERVALUE(B101),IF(ISTEXT(B101),VALUE(B101),"ERREUR")))</f>
        <v/>
      </c>
      <c r="L101" s="38" t="str">
        <f>IF(COUNTIF($R$4:$R$6,C101)&gt;0,C101,IF(ISBLANK(C101),IF(ISBLANK(D101),T(C101),"ERREUR"),"ERREUR"))</f>
        <v/>
      </c>
      <c r="M101" s="49" t="str">
        <f>IF(ISBLANK(D101),IF(ISBLANK(D102),T(D101),"ERREUR"),IF(COUNTIF($T$4:$T$240,SUBSTITUTE(SUBSTITUTE(SUBSTITUTE(SUBSTITUTE(SUBSTITUTE(SUBSTITUTE(UPPER(D101),"Å","A"),"É","E"),"È","E"),"Ê","E"),"Î","I"),"Ï","I"))&gt;0,D101,IF(ISBLANK(D101),T(D101),"ERREUR")))</f>
        <v/>
      </c>
      <c r="N101" s="38" t="str">
        <f>IF(COUNTIF($V$4:$V$6,E101)&gt;0,E101,IF(ISBLANK(E101),IF(ISBLANK(E102),T(E101),"ERREUR"),"ERREUR"))</f>
        <v/>
      </c>
      <c r="O101" s="38" t="str">
        <f>IF(COUNTIF($W$4:$W$5,F101)&gt;0,F101,IF(ISBLANK(F101),IF(ISBLANK(F102),T(F101),"ERREUR"),"ERREUR"))</f>
        <v/>
      </c>
      <c r="P101" s="38" t="str">
        <f>IF(COUNTIF($X$4:$X$8,G101)&gt;0,G101,IF(ISBLANK(G101),IF(ISBLANK(G102),T(G101),"ERREUR"),"ERREUR"))</f>
        <v/>
      </c>
      <c r="Q101" s="38" t="str">
        <f>IF(ISNUMBER(H101),IF(INT(H101)=H101,H101,"ERREUR"),IF(ISBLANK(H101),IF(ISBLANK(H102),T(H101),"ERREUR"),"ERREUR"))</f>
        <v/>
      </c>
      <c r="R101" s="38"/>
      <c r="S101" s="1" t="s">
        <v>243</v>
      </c>
      <c r="T101" s="39" t="s">
        <v>244</v>
      </c>
      <c r="U101" s="38" t="str">
        <f>SUBSTITUTE(SUBSTITUTE(SUBSTITUTE(SUBSTITUTE(SUBSTITUTE(SUBSTITUTE(SUBSTITUTE(SUBSTITUTE(UPPER(S101),"Å","A"),"É","E"),"È","E"),"Ê","E"),"Ë","E"),"Î","I"),"Ï","I"),"Ô","O")</f>
        <v xml:space="preserve">ILES MARIANNES DU NORD</v>
      </c>
      <c r="V101" s="38"/>
      <c r="W101" s="38"/>
      <c r="X101" s="53"/>
      <c r="Y101" s="42"/>
      <c r="Z101" s="42"/>
      <c r="AA101" s="42"/>
    </row>
    <row r="102" ht="13.75" customHeight="1">
      <c r="A102" s="14" t="s">
        <v>140</v>
      </c>
      <c r="B102" s="50"/>
      <c r="C102" s="43"/>
      <c r="D102" s="43"/>
      <c r="E102" s="44"/>
      <c r="F102" s="44"/>
      <c r="G102" s="44"/>
      <c r="H102" s="45"/>
      <c r="I102" s="54"/>
      <c r="J102" s="47" t="str">
        <f>IF(OR(K102="ERREUR",L102="ERREUR",M102="ERREUR",N102="ERREUR",O102="ERREUR",P102="ERREUR",Q102="ERREUR"),"ERREUR",IF(AND(K102="",L102="",M102="",N102="",O102="",P102="",Q102=""),"ligne vide",IF(OR(K102="",L102="",M102="",N102="",O102="",P102="",Q102=""),"ligne incomplète","Valide")))</f>
        <v xml:space="preserve">ligne vide</v>
      </c>
      <c r="K102" s="48" t="str">
        <f>IF(ISBLANK(B102),IF(ISBLANK(B103),T(B102),"ERREUR"),IF(ISNUMBER(B102),_xlfn.NUMBERVALUE(B102),IF(ISTEXT(B102),VALUE(B102),"ERREUR")))</f>
        <v/>
      </c>
      <c r="L102" s="38" t="str">
        <f>IF(COUNTIF($R$4:$R$6,C102)&gt;0,C102,IF(ISBLANK(C102),IF(ISBLANK(D102),T(C102),"ERREUR"),"ERREUR"))</f>
        <v/>
      </c>
      <c r="M102" s="49" t="str">
        <f>IF(ISBLANK(D102),IF(ISBLANK(D103),T(D102),"ERREUR"),IF(COUNTIF($T$4:$T$240,SUBSTITUTE(SUBSTITUTE(SUBSTITUTE(SUBSTITUTE(SUBSTITUTE(SUBSTITUTE(UPPER(D102),"Å","A"),"É","E"),"È","E"),"Ê","E"),"Î","I"),"Ï","I"))&gt;0,D102,IF(ISBLANK(D102),T(D102),"ERREUR")))</f>
        <v/>
      </c>
      <c r="N102" s="38" t="str">
        <f>IF(COUNTIF($V$4:$V$6,E102)&gt;0,E102,IF(ISBLANK(E102),IF(ISBLANK(E103),T(E102),"ERREUR"),"ERREUR"))</f>
        <v/>
      </c>
      <c r="O102" s="38" t="str">
        <f>IF(COUNTIF($W$4:$W$5,F102)&gt;0,F102,IF(ISBLANK(F102),IF(ISBLANK(F103),T(F102),"ERREUR"),"ERREUR"))</f>
        <v/>
      </c>
      <c r="P102" s="38" t="str">
        <f>IF(COUNTIF($X$4:$X$8,G102)&gt;0,G102,IF(ISBLANK(G102),IF(ISBLANK(G103),T(G102),"ERREUR"),"ERREUR"))</f>
        <v/>
      </c>
      <c r="Q102" s="38" t="str">
        <f>IF(ISNUMBER(H102),IF(INT(H102)=H102,H102,"ERREUR"),IF(ISBLANK(H102),IF(ISBLANK(H103),T(H102),"ERREUR"),"ERREUR"))</f>
        <v/>
      </c>
      <c r="R102" s="38"/>
      <c r="S102" s="1" t="s">
        <v>245</v>
      </c>
      <c r="T102" s="39" t="s">
        <v>246</v>
      </c>
      <c r="U102" s="38" t="str">
        <f>SUBSTITUTE(SUBSTITUTE(SUBSTITUTE(SUBSTITUTE(SUBSTITUTE(SUBSTITUTE(SUBSTITUTE(SUBSTITUTE(UPPER(S102),"Å","A"),"É","E"),"È","E"),"Ê","E"),"Ë","E"),"Î","I"),"Ï","I"),"Ô","O")</f>
        <v xml:space="preserve">ILES MARSHALL</v>
      </c>
      <c r="V102" s="38"/>
      <c r="W102" s="38"/>
      <c r="X102" s="53"/>
      <c r="Y102" s="42"/>
      <c r="Z102" s="42"/>
      <c r="AA102" s="42"/>
    </row>
    <row r="103" ht="13.75" customHeight="1">
      <c r="A103" s="14" t="s">
        <v>140</v>
      </c>
      <c r="B103" s="50"/>
      <c r="C103" s="43"/>
      <c r="D103" s="43"/>
      <c r="E103" s="44"/>
      <c r="F103" s="44"/>
      <c r="G103" s="44"/>
      <c r="H103" s="45"/>
      <c r="I103" s="54"/>
      <c r="J103" s="47" t="str">
        <f>IF(OR(K103="ERREUR",L103="ERREUR",M103="ERREUR",N103="ERREUR",O103="ERREUR",P103="ERREUR",Q103="ERREUR"),"ERREUR",IF(AND(K103="",L103="",M103="",N103="",O103="",P103="",Q103=""),"ligne vide",IF(OR(K103="",L103="",M103="",N103="",O103="",P103="",Q103=""),"ligne incomplète","Valide")))</f>
        <v xml:space="preserve">ligne vide</v>
      </c>
      <c r="K103" s="48" t="str">
        <f>IF(ISBLANK(B103),IF(ISBLANK(B104),T(B103),"ERREUR"),IF(ISNUMBER(B103),_xlfn.NUMBERVALUE(B103),IF(ISTEXT(B103),VALUE(B103),"ERREUR")))</f>
        <v/>
      </c>
      <c r="L103" s="38" t="str">
        <f>IF(COUNTIF($R$4:$R$6,C103)&gt;0,C103,IF(ISBLANK(C103),IF(ISBLANK(D103),T(C103),"ERREUR"),"ERREUR"))</f>
        <v/>
      </c>
      <c r="M103" s="49" t="str">
        <f>IF(ISBLANK(D103),IF(ISBLANK(D104),T(D103),"ERREUR"),IF(COUNTIF($T$4:$T$240,SUBSTITUTE(SUBSTITUTE(SUBSTITUTE(SUBSTITUTE(SUBSTITUTE(SUBSTITUTE(UPPER(D103),"Å","A"),"É","E"),"È","E"),"Ê","E"),"Î","I"),"Ï","I"))&gt;0,D103,IF(ISBLANK(D103),T(D103),"ERREUR")))</f>
        <v/>
      </c>
      <c r="N103" s="38" t="str">
        <f>IF(COUNTIF($V$4:$V$6,E103)&gt;0,E103,IF(ISBLANK(E103),IF(ISBLANK(E104),T(E103),"ERREUR"),"ERREUR"))</f>
        <v/>
      </c>
      <c r="O103" s="38" t="str">
        <f>IF(COUNTIF($W$4:$W$5,F103)&gt;0,F103,IF(ISBLANK(F103),IF(ISBLANK(F104),T(F103),"ERREUR"),"ERREUR"))</f>
        <v/>
      </c>
      <c r="P103" s="38" t="str">
        <f>IF(COUNTIF($X$4:$X$8,G103)&gt;0,G103,IF(ISBLANK(G103),IF(ISBLANK(G104),T(G103),"ERREUR"),"ERREUR"))</f>
        <v/>
      </c>
      <c r="Q103" s="38" t="str">
        <f>IF(ISNUMBER(H103),IF(INT(H103)=H103,H103,"ERREUR"),IF(ISBLANK(H103),IF(ISBLANK(H104),T(H103),"ERREUR"),"ERREUR"))</f>
        <v/>
      </c>
      <c r="R103" s="38"/>
      <c r="S103" s="1" t="s">
        <v>247</v>
      </c>
      <c r="T103" s="39" t="s">
        <v>248</v>
      </c>
      <c r="U103" s="38" t="str">
        <f>SUBSTITUTE(SUBSTITUTE(SUBSTITUTE(SUBSTITUTE(SUBSTITUTE(SUBSTITUTE(SUBSTITUTE(SUBSTITUTE(UPPER(S103),"Å","A"),"É","E"),"È","E"),"Ê","E"),"Ë","E"),"Î","I"),"Ï","I"),"Ô","O")</f>
        <v xml:space="preserve">ILES PITCAIRN</v>
      </c>
      <c r="V103" s="38"/>
      <c r="W103" s="38"/>
      <c r="X103" s="53"/>
      <c r="Y103" s="42"/>
      <c r="Z103" s="42"/>
      <c r="AA103" s="42"/>
    </row>
    <row r="104" ht="13.75" customHeight="1">
      <c r="A104" s="14" t="s">
        <v>140</v>
      </c>
      <c r="B104" s="50"/>
      <c r="C104" s="43"/>
      <c r="D104" s="43"/>
      <c r="E104" s="44"/>
      <c r="F104" s="44"/>
      <c r="G104" s="44"/>
      <c r="H104" s="45"/>
      <c r="I104" s="54"/>
      <c r="J104" s="47" t="str">
        <f>IF(OR(K104="ERREUR",L104="ERREUR",M104="ERREUR",N104="ERREUR",O104="ERREUR",P104="ERREUR",Q104="ERREUR"),"ERREUR",IF(AND(K104="",L104="",M104="",N104="",O104="",P104="",Q104=""),"ligne vide",IF(OR(K104="",L104="",M104="",N104="",O104="",P104="",Q104=""),"ligne incomplète","Valide")))</f>
        <v xml:space="preserve">ligne vide</v>
      </c>
      <c r="K104" s="48" t="str">
        <f>IF(ISBLANK(B104),IF(ISBLANK(B105),T(B104),"ERREUR"),IF(ISNUMBER(B104),_xlfn.NUMBERVALUE(B104),IF(ISTEXT(B104),VALUE(B104),"ERREUR")))</f>
        <v/>
      </c>
      <c r="L104" s="38" t="str">
        <f>IF(COUNTIF($R$4:$R$6,C104)&gt;0,C104,IF(ISBLANK(C104),IF(ISBLANK(D104),T(C104),"ERREUR"),"ERREUR"))</f>
        <v/>
      </c>
      <c r="M104" s="49" t="str">
        <f>IF(ISBLANK(D104),IF(ISBLANK(D105),T(D104),"ERREUR"),IF(COUNTIF($T$4:$T$240,SUBSTITUTE(SUBSTITUTE(SUBSTITUTE(SUBSTITUTE(SUBSTITUTE(SUBSTITUTE(UPPER(D104),"Å","A"),"É","E"),"È","E"),"Ê","E"),"Î","I"),"Ï","I"))&gt;0,D104,IF(ISBLANK(D104),T(D104),"ERREUR")))</f>
        <v/>
      </c>
      <c r="N104" s="38" t="str">
        <f>IF(COUNTIF($V$4:$V$6,E104)&gt;0,E104,IF(ISBLANK(E104),IF(ISBLANK(E105),T(E104),"ERREUR"),"ERREUR"))</f>
        <v/>
      </c>
      <c r="O104" s="38" t="str">
        <f>IF(COUNTIF($W$4:$W$5,F104)&gt;0,F104,IF(ISBLANK(F104),IF(ISBLANK(F105),T(F104),"ERREUR"),"ERREUR"))</f>
        <v/>
      </c>
      <c r="P104" s="38" t="str">
        <f>IF(COUNTIF($X$4:$X$8,G104)&gt;0,G104,IF(ISBLANK(G104),IF(ISBLANK(G105),T(G104),"ERREUR"),"ERREUR"))</f>
        <v/>
      </c>
      <c r="Q104" s="38" t="str">
        <f>IF(ISNUMBER(H104),IF(INT(H104)=H104,H104,"ERREUR"),IF(ISBLANK(H104),IF(ISBLANK(H105),T(H104),"ERREUR"),"ERREUR"))</f>
        <v/>
      </c>
      <c r="R104" s="38"/>
      <c r="S104" s="1" t="s">
        <v>249</v>
      </c>
      <c r="T104" s="39" t="s">
        <v>250</v>
      </c>
      <c r="U104" s="38" t="str">
        <f>SUBSTITUTE(SUBSTITUTE(SUBSTITUTE(SUBSTITUTE(SUBSTITUTE(SUBSTITUTE(SUBSTITUTE(SUBSTITUTE(UPPER(S104),"Å","A"),"É","E"),"È","E"),"Ê","E"),"Ë","E"),"Î","I"),"Ï","I"),"Ô","O")</f>
        <v xml:space="preserve">ILES TURQUES-ET-CAIQUES</v>
      </c>
      <c r="V104" s="38"/>
      <c r="W104" s="38"/>
      <c r="X104" s="53"/>
      <c r="Y104" s="42"/>
      <c r="Z104" s="42"/>
      <c r="AA104" s="42"/>
    </row>
    <row r="105" ht="13.75" customHeight="1">
      <c r="A105" s="14" t="s">
        <v>140</v>
      </c>
      <c r="B105" s="50"/>
      <c r="C105" s="43"/>
      <c r="D105" s="43"/>
      <c r="E105" s="44"/>
      <c r="F105" s="44"/>
      <c r="G105" s="44"/>
      <c r="H105" s="45"/>
      <c r="I105" s="54"/>
      <c r="J105" s="47" t="str">
        <f>IF(OR(K105="ERREUR",L105="ERREUR",M105="ERREUR",N105="ERREUR",O105="ERREUR",P105="ERREUR",Q105="ERREUR"),"ERREUR",IF(AND(K105="",L105="",M105="",N105="",O105="",P105="",Q105=""),"ligne vide",IF(OR(K105="",L105="",M105="",N105="",O105="",P105="",Q105=""),"ligne incomplète","Valide")))</f>
        <v xml:space="preserve">ligne vide</v>
      </c>
      <c r="K105" s="48" t="str">
        <f>IF(ISBLANK(B105),IF(ISBLANK(B106),T(B105),"ERREUR"),IF(ISNUMBER(B105),_xlfn.NUMBERVALUE(B105),IF(ISTEXT(B105),VALUE(B105),"ERREUR")))</f>
        <v/>
      </c>
      <c r="L105" s="38" t="str">
        <f>IF(COUNTIF($R$4:$R$6,C105)&gt;0,C105,IF(ISBLANK(C105),IF(ISBLANK(D105),T(C105),"ERREUR"),"ERREUR"))</f>
        <v/>
      </c>
      <c r="M105" s="49" t="str">
        <f>IF(ISBLANK(D105),IF(ISBLANK(D106),T(D105),"ERREUR"),IF(COUNTIF($T$4:$T$240,SUBSTITUTE(SUBSTITUTE(SUBSTITUTE(SUBSTITUTE(SUBSTITUTE(SUBSTITUTE(UPPER(D105),"Å","A"),"É","E"),"È","E"),"Ê","E"),"Î","I"),"Ï","I"))&gt;0,D105,IF(ISBLANK(D105),T(D105),"ERREUR")))</f>
        <v/>
      </c>
      <c r="N105" s="38" t="str">
        <f>IF(COUNTIF($V$4:$V$6,E105)&gt;0,E105,IF(ISBLANK(E105),IF(ISBLANK(E106),T(E105),"ERREUR"),"ERREUR"))</f>
        <v/>
      </c>
      <c r="O105" s="38" t="str">
        <f>IF(COUNTIF($W$4:$W$5,F105)&gt;0,F105,IF(ISBLANK(F105),IF(ISBLANK(F106),T(F105),"ERREUR"),"ERREUR"))</f>
        <v/>
      </c>
      <c r="P105" s="38" t="str">
        <f>IF(COUNTIF($X$4:$X$8,G105)&gt;0,G105,IF(ISBLANK(G105),IF(ISBLANK(G106),T(G105),"ERREUR"),"ERREUR"))</f>
        <v/>
      </c>
      <c r="Q105" s="38" t="str">
        <f>IF(ISNUMBER(H105),IF(INT(H105)=H105,H105,"ERREUR"),IF(ISBLANK(H105),IF(ISBLANK(H106),T(H105),"ERREUR"),"ERREUR"))</f>
        <v/>
      </c>
      <c r="R105" s="38"/>
      <c r="S105" s="1" t="s">
        <v>251</v>
      </c>
      <c r="T105" s="39" t="s">
        <v>252</v>
      </c>
      <c r="U105" s="38" t="str">
        <f>SUBSTITUTE(SUBSTITUTE(SUBSTITUTE(SUBSTITUTE(SUBSTITUTE(SUBSTITUTE(SUBSTITUTE(SUBSTITUTE(UPPER(S105),"Å","A"),"É","E"),"È","E"),"Ê","E"),"Ë","E"),"Î","I"),"Ï","I"),"Ô","O")</f>
        <v xml:space="preserve">ILES VIERGES BRITANNIQUES</v>
      </c>
      <c r="V105" s="38"/>
      <c r="W105" s="38"/>
      <c r="X105" s="53"/>
      <c r="Y105" s="42"/>
      <c r="Z105" s="42"/>
      <c r="AA105" s="42"/>
    </row>
    <row r="106" ht="13.75" customHeight="1">
      <c r="A106" s="14" t="s">
        <v>140</v>
      </c>
      <c r="B106" s="50"/>
      <c r="C106" s="43"/>
      <c r="D106" s="43"/>
      <c r="E106" s="44"/>
      <c r="F106" s="44"/>
      <c r="G106" s="44"/>
      <c r="H106" s="45"/>
      <c r="I106" s="54"/>
      <c r="J106" s="47" t="str">
        <f>IF(OR(K106="ERREUR",L106="ERREUR",M106="ERREUR",N106="ERREUR",O106="ERREUR",P106="ERREUR",Q106="ERREUR"),"ERREUR",IF(AND(K106="",L106="",M106="",N106="",O106="",P106="",Q106=""),"ligne vide",IF(OR(K106="",L106="",M106="",N106="",O106="",P106="",Q106=""),"ligne incomplète","Valide")))</f>
        <v xml:space="preserve">ligne vide</v>
      </c>
      <c r="K106" s="48" t="str">
        <f>IF(ISBLANK(B106),IF(ISBLANK(B107),T(B106),"ERREUR"),IF(ISNUMBER(B106),_xlfn.NUMBERVALUE(B106),IF(ISTEXT(B106),VALUE(B106),"ERREUR")))</f>
        <v/>
      </c>
      <c r="L106" s="38" t="str">
        <f>IF(COUNTIF($R$4:$R$6,C106)&gt;0,C106,IF(ISBLANK(C106),IF(ISBLANK(D106),T(C106),"ERREUR"),"ERREUR"))</f>
        <v/>
      </c>
      <c r="M106" s="49" t="str">
        <f>IF(ISBLANK(D106),IF(ISBLANK(D107),T(D106),"ERREUR"),IF(COUNTIF($T$4:$T$240,SUBSTITUTE(SUBSTITUTE(SUBSTITUTE(SUBSTITUTE(SUBSTITUTE(SUBSTITUTE(UPPER(D106),"Å","A"),"É","E"),"È","E"),"Ê","E"),"Î","I"),"Ï","I"))&gt;0,D106,IF(ISBLANK(D106),T(D106),"ERREUR")))</f>
        <v/>
      </c>
      <c r="N106" s="38" t="str">
        <f>IF(COUNTIF($V$4:$V$6,E106)&gt;0,E106,IF(ISBLANK(E106),IF(ISBLANK(E107),T(E106),"ERREUR"),"ERREUR"))</f>
        <v/>
      </c>
      <c r="O106" s="38" t="str">
        <f>IF(COUNTIF($W$4:$W$5,F106)&gt;0,F106,IF(ISBLANK(F106),IF(ISBLANK(F107),T(F106),"ERREUR"),"ERREUR"))</f>
        <v/>
      </c>
      <c r="P106" s="38" t="str">
        <f>IF(COUNTIF($X$4:$X$8,G106)&gt;0,G106,IF(ISBLANK(G106),IF(ISBLANK(G107),T(G106),"ERREUR"),"ERREUR"))</f>
        <v/>
      </c>
      <c r="Q106" s="38" t="str">
        <f>IF(ISNUMBER(H106),IF(INT(H106)=H106,H106,"ERREUR"),IF(ISBLANK(H106),IF(ISBLANK(H107),T(H106),"ERREUR"),"ERREUR"))</f>
        <v/>
      </c>
      <c r="R106" s="38"/>
      <c r="S106" s="1" t="s">
        <v>253</v>
      </c>
      <c r="T106" s="39" t="s">
        <v>254</v>
      </c>
      <c r="U106" s="38" t="str">
        <f>SUBSTITUTE(SUBSTITUTE(SUBSTITUTE(SUBSTITUTE(SUBSTITUTE(SUBSTITUTE(SUBSTITUTE(SUBSTITUTE(UPPER(S106),"Å","A"),"É","E"),"È","E"),"Ê","E"),"Ë","E"),"Î","I"),"Ï","I"),"Ô","O")</f>
        <v xml:space="preserve">ILES VIERGES DES ETATS-UNIS</v>
      </c>
      <c r="V106" s="38"/>
      <c r="W106" s="38"/>
      <c r="X106" s="53"/>
      <c r="Y106" s="42"/>
      <c r="Z106" s="42"/>
      <c r="AA106" s="42"/>
    </row>
    <row r="107" ht="13.75" customHeight="1">
      <c r="A107" s="14" t="s">
        <v>140</v>
      </c>
      <c r="B107" s="50"/>
      <c r="C107" s="43"/>
      <c r="D107" s="43"/>
      <c r="E107" s="44"/>
      <c r="F107" s="44"/>
      <c r="G107" s="44"/>
      <c r="H107" s="45"/>
      <c r="I107" s="54"/>
      <c r="J107" s="47" t="str">
        <f>IF(OR(K107="ERREUR",L107="ERREUR",M107="ERREUR",N107="ERREUR",O107="ERREUR",P107="ERREUR",Q107="ERREUR"),"ERREUR",IF(AND(K107="",L107="",M107="",N107="",O107="",P107="",Q107=""),"ligne vide",IF(OR(K107="",L107="",M107="",N107="",O107="",P107="",Q107=""),"ligne incomplète","Valide")))</f>
        <v xml:space="preserve">ligne vide</v>
      </c>
      <c r="K107" s="48" t="str">
        <f>IF(ISBLANK(B107),IF(ISBLANK(B108),T(B107),"ERREUR"),IF(ISNUMBER(B107),_xlfn.NUMBERVALUE(B107),IF(ISTEXT(B107),VALUE(B107),"ERREUR")))</f>
        <v/>
      </c>
      <c r="L107" s="38" t="str">
        <f>IF(COUNTIF($R$4:$R$6,C107)&gt;0,C107,IF(ISBLANK(C107),IF(ISBLANK(D107),T(C107),"ERREUR"),"ERREUR"))</f>
        <v/>
      </c>
      <c r="M107" s="49" t="str">
        <f>IF(ISBLANK(D107),IF(ISBLANK(D108),T(D107),"ERREUR"),IF(COUNTIF($T$4:$T$240,SUBSTITUTE(SUBSTITUTE(SUBSTITUTE(SUBSTITUTE(SUBSTITUTE(SUBSTITUTE(UPPER(D107),"Å","A"),"É","E"),"È","E"),"Ê","E"),"Î","I"),"Ï","I"))&gt;0,D107,IF(ISBLANK(D107),T(D107),"ERREUR")))</f>
        <v/>
      </c>
      <c r="N107" s="38" t="str">
        <f>IF(COUNTIF($V$4:$V$6,E107)&gt;0,E107,IF(ISBLANK(E107),IF(ISBLANK(E108),T(E107),"ERREUR"),"ERREUR"))</f>
        <v/>
      </c>
      <c r="O107" s="38" t="str">
        <f>IF(COUNTIF($W$4:$W$5,F107)&gt;0,F107,IF(ISBLANK(F107),IF(ISBLANK(F108),T(F107),"ERREUR"),"ERREUR"))</f>
        <v/>
      </c>
      <c r="P107" s="38" t="str">
        <f>IF(COUNTIF($X$4:$X$8,G107)&gt;0,G107,IF(ISBLANK(G107),IF(ISBLANK(G108),T(G107),"ERREUR"),"ERREUR"))</f>
        <v/>
      </c>
      <c r="Q107" s="38" t="str">
        <f>IF(ISNUMBER(H107),IF(INT(H107)=H107,H107,"ERREUR"),IF(ISBLANK(H107),IF(ISBLANK(H108),T(H107),"ERREUR"),"ERREUR"))</f>
        <v/>
      </c>
      <c r="R107" s="38"/>
      <c r="S107" s="1" t="s">
        <v>255</v>
      </c>
      <c r="T107" s="39" t="s">
        <v>256</v>
      </c>
      <c r="U107" s="38" t="str">
        <f>SUBSTITUTE(SUBSTITUTE(SUBSTITUTE(SUBSTITUTE(SUBSTITUTE(SUBSTITUTE(SUBSTITUTE(SUBSTITUTE(UPPER(S107),"Å","A"),"É","E"),"È","E"),"Ê","E"),"Ë","E"),"Î","I"),"Ï","I"),"Ô","O")</f>
        <v xml:space="preserve">ILES MINEURES ELOIGNEES DES ETATS-UNIS</v>
      </c>
      <c r="V107" s="38"/>
      <c r="W107" s="38"/>
      <c r="X107" s="53"/>
      <c r="Y107" s="42"/>
      <c r="Z107" s="42"/>
      <c r="AA107" s="42"/>
    </row>
    <row r="108" ht="13.75" customHeight="1">
      <c r="A108" s="14" t="s">
        <v>140</v>
      </c>
      <c r="B108" s="50"/>
      <c r="C108" s="43"/>
      <c r="D108" s="43"/>
      <c r="E108" s="44"/>
      <c r="F108" s="44"/>
      <c r="G108" s="44"/>
      <c r="H108" s="45"/>
      <c r="I108" s="54"/>
      <c r="J108" s="47" t="str">
        <f>IF(OR(K108="ERREUR",L108="ERREUR",M108="ERREUR",N108="ERREUR",O108="ERREUR",P108="ERREUR",Q108="ERREUR"),"ERREUR",IF(AND(K108="",L108="",M108="",N108="",O108="",P108="",Q108=""),"ligne vide",IF(OR(K108="",L108="",M108="",N108="",O108="",P108="",Q108=""),"ligne incomplète","Valide")))</f>
        <v xml:space="preserve">ligne vide</v>
      </c>
      <c r="K108" s="48" t="str">
        <f>IF(ISBLANK(B108),IF(ISBLANK(B109),T(B108),"ERREUR"),IF(ISNUMBER(B108),_xlfn.NUMBERVALUE(B108),IF(ISTEXT(B108),VALUE(B108),"ERREUR")))</f>
        <v/>
      </c>
      <c r="L108" s="38" t="str">
        <f>IF(COUNTIF($R$4:$R$6,C108)&gt;0,C108,IF(ISBLANK(C108),IF(ISBLANK(D108),T(C108),"ERREUR"),"ERREUR"))</f>
        <v/>
      </c>
      <c r="M108" s="49" t="str">
        <f>IF(ISBLANK(D108),IF(ISBLANK(D109),T(D108),"ERREUR"),IF(COUNTIF($T$4:$T$240,SUBSTITUTE(SUBSTITUTE(SUBSTITUTE(SUBSTITUTE(SUBSTITUTE(SUBSTITUTE(UPPER(D108),"Å","A"),"É","E"),"È","E"),"Ê","E"),"Î","I"),"Ï","I"))&gt;0,D108,IF(ISBLANK(D108),T(D108),"ERREUR")))</f>
        <v/>
      </c>
      <c r="N108" s="38" t="str">
        <f>IF(COUNTIF($V$4:$V$6,E108)&gt;0,E108,IF(ISBLANK(E108),IF(ISBLANK(E109),T(E108),"ERREUR"),"ERREUR"))</f>
        <v/>
      </c>
      <c r="O108" s="38" t="str">
        <f>IF(COUNTIF($W$4:$W$5,F108)&gt;0,F108,IF(ISBLANK(F108),IF(ISBLANK(F109),T(F108),"ERREUR"),"ERREUR"))</f>
        <v/>
      </c>
      <c r="P108" s="38" t="str">
        <f>IF(COUNTIF($X$4:$X$8,G108)&gt;0,G108,IF(ISBLANK(G108),IF(ISBLANK(G109),T(G108),"ERREUR"),"ERREUR"))</f>
        <v/>
      </c>
      <c r="Q108" s="38" t="str">
        <f>IF(ISNUMBER(H108),IF(INT(H108)=H108,H108,"ERREUR"),IF(ISBLANK(H108),IF(ISBLANK(H109),T(H108),"ERREUR"),"ERREUR"))</f>
        <v/>
      </c>
      <c r="R108" s="38"/>
      <c r="S108" s="1" t="s">
        <v>257</v>
      </c>
      <c r="T108" s="39" t="s">
        <v>258</v>
      </c>
      <c r="U108" s="38" t="str">
        <f>SUBSTITUTE(SUBSTITUTE(SUBSTITUTE(SUBSTITUTE(SUBSTITUTE(SUBSTITUTE(SUBSTITUTE(SUBSTITUTE(UPPER(S108),"Å","A"),"É","E"),"È","E"),"Ê","E"),"Ë","E"),"Î","I"),"Ï","I"),"Ô","O")</f>
        <v>INDE</v>
      </c>
      <c r="V108" s="38"/>
      <c r="W108" s="38"/>
      <c r="X108" s="53"/>
      <c r="Y108" s="42"/>
      <c r="Z108" s="42"/>
      <c r="AA108" s="42"/>
    </row>
    <row r="109" ht="13.75" customHeight="1">
      <c r="A109" s="14" t="s">
        <v>140</v>
      </c>
      <c r="B109" s="50"/>
      <c r="C109" s="43"/>
      <c r="D109" s="43"/>
      <c r="E109" s="44"/>
      <c r="F109" s="44"/>
      <c r="G109" s="44"/>
      <c r="H109" s="45"/>
      <c r="I109" s="54"/>
      <c r="J109" s="47" t="str">
        <f>IF(OR(K109="ERREUR",L109="ERREUR",M109="ERREUR",N109="ERREUR",O109="ERREUR",P109="ERREUR",Q109="ERREUR"),"ERREUR",IF(AND(K109="",L109="",M109="",N109="",O109="",P109="",Q109=""),"ligne vide",IF(OR(K109="",L109="",M109="",N109="",O109="",P109="",Q109=""),"ligne incomplète","Valide")))</f>
        <v xml:space="preserve">ligne vide</v>
      </c>
      <c r="K109" s="48" t="str">
        <f>IF(ISBLANK(B109),IF(ISBLANK(B110),T(B109),"ERREUR"),IF(ISNUMBER(B109),_xlfn.NUMBERVALUE(B109),IF(ISTEXT(B109),VALUE(B109),"ERREUR")))</f>
        <v/>
      </c>
      <c r="L109" s="38" t="str">
        <f>IF(COUNTIF($R$4:$R$6,C109)&gt;0,C109,IF(ISBLANK(C109),IF(ISBLANK(D109),T(C109),"ERREUR"),"ERREUR"))</f>
        <v/>
      </c>
      <c r="M109" s="49" t="str">
        <f>IF(ISBLANK(D109),IF(ISBLANK(D110),T(D109),"ERREUR"),IF(COUNTIF($T$4:$T$240,SUBSTITUTE(SUBSTITUTE(SUBSTITUTE(SUBSTITUTE(SUBSTITUTE(SUBSTITUTE(UPPER(D109),"Å","A"),"É","E"),"È","E"),"Ê","E"),"Î","I"),"Ï","I"))&gt;0,D109,IF(ISBLANK(D109),T(D109),"ERREUR")))</f>
        <v/>
      </c>
      <c r="N109" s="38" t="str">
        <f>IF(COUNTIF($V$4:$V$6,E109)&gt;0,E109,IF(ISBLANK(E109),IF(ISBLANK(E110),T(E109),"ERREUR"),"ERREUR"))</f>
        <v/>
      </c>
      <c r="O109" s="38" t="str">
        <f>IF(COUNTIF($W$4:$W$5,F109)&gt;0,F109,IF(ISBLANK(F109),IF(ISBLANK(F110),T(F109),"ERREUR"),"ERREUR"))</f>
        <v/>
      </c>
      <c r="P109" s="38" t="str">
        <f>IF(COUNTIF($X$4:$X$8,G109)&gt;0,G109,IF(ISBLANK(G109),IF(ISBLANK(G110),T(G109),"ERREUR"),"ERREUR"))</f>
        <v/>
      </c>
      <c r="Q109" s="38" t="str">
        <f>IF(ISNUMBER(H109),IF(INT(H109)=H109,H109,"ERREUR"),IF(ISBLANK(H109),IF(ISBLANK(H110),T(H109),"ERREUR"),"ERREUR"))</f>
        <v/>
      </c>
      <c r="R109" s="38"/>
      <c r="S109" s="1" t="s">
        <v>259</v>
      </c>
      <c r="T109" s="39" t="s">
        <v>260</v>
      </c>
      <c r="U109" s="38" t="str">
        <f>SUBSTITUTE(SUBSTITUTE(SUBSTITUTE(SUBSTITUTE(SUBSTITUTE(SUBSTITUTE(SUBSTITUTE(SUBSTITUTE(UPPER(S109),"Å","A"),"É","E"),"È","E"),"Ê","E"),"Ë","E"),"Î","I"),"Ï","I"),"Ô","O")</f>
        <v>INDONESIE</v>
      </c>
      <c r="V109" s="38"/>
      <c r="W109" s="38"/>
      <c r="X109" s="53"/>
      <c r="Y109" s="42"/>
      <c r="Z109" s="42"/>
      <c r="AA109" s="42"/>
    </row>
    <row r="110" ht="13.75" customHeight="1">
      <c r="A110" s="14" t="s">
        <v>140</v>
      </c>
      <c r="B110" s="50"/>
      <c r="C110" s="43"/>
      <c r="D110" s="43"/>
      <c r="E110" s="44"/>
      <c r="F110" s="44"/>
      <c r="G110" s="44"/>
      <c r="H110" s="45"/>
      <c r="I110" s="54"/>
      <c r="J110" s="47" t="str">
        <f>IF(OR(K110="ERREUR",L110="ERREUR",M110="ERREUR",N110="ERREUR",O110="ERREUR",P110="ERREUR",Q110="ERREUR"),"ERREUR",IF(AND(K110="",L110="",M110="",N110="",O110="",P110="",Q110=""),"ligne vide",IF(OR(K110="",L110="",M110="",N110="",O110="",P110="",Q110=""),"ligne incomplète","Valide")))</f>
        <v xml:space="preserve">ligne vide</v>
      </c>
      <c r="K110" s="48" t="str">
        <f>IF(ISBLANK(B110),IF(ISBLANK(B111),T(B110),"ERREUR"),IF(ISNUMBER(B110),_xlfn.NUMBERVALUE(B110),IF(ISTEXT(B110),VALUE(B110),"ERREUR")))</f>
        <v/>
      </c>
      <c r="L110" s="38" t="str">
        <f>IF(COUNTIF($R$4:$R$6,C110)&gt;0,C110,IF(ISBLANK(C110),IF(ISBLANK(D110),T(C110),"ERREUR"),"ERREUR"))</f>
        <v/>
      </c>
      <c r="M110" s="49" t="str">
        <f>IF(ISBLANK(D110),IF(ISBLANK(D111),T(D110),"ERREUR"),IF(COUNTIF($T$4:$T$240,SUBSTITUTE(SUBSTITUTE(SUBSTITUTE(SUBSTITUTE(SUBSTITUTE(SUBSTITUTE(UPPER(D110),"Å","A"),"É","E"),"È","E"),"Ê","E"),"Î","I"),"Ï","I"))&gt;0,D110,IF(ISBLANK(D110),T(D110),"ERREUR")))</f>
        <v/>
      </c>
      <c r="N110" s="38" t="str">
        <f>IF(COUNTIF($V$4:$V$6,E110)&gt;0,E110,IF(ISBLANK(E110),IF(ISBLANK(E111),T(E110),"ERREUR"),"ERREUR"))</f>
        <v/>
      </c>
      <c r="O110" s="38" t="str">
        <f>IF(COUNTIF($W$4:$W$5,F110)&gt;0,F110,IF(ISBLANK(F110),IF(ISBLANK(F111),T(F110),"ERREUR"),"ERREUR"))</f>
        <v/>
      </c>
      <c r="P110" s="38" t="str">
        <f>IF(COUNTIF($X$4:$X$8,G110)&gt;0,G110,IF(ISBLANK(G110),IF(ISBLANK(G111),T(G110),"ERREUR"),"ERREUR"))</f>
        <v/>
      </c>
      <c r="Q110" s="38" t="str">
        <f>IF(ISNUMBER(H110),IF(INT(H110)=H110,H110,"ERREUR"),IF(ISBLANK(H110),IF(ISBLANK(H111),T(H110),"ERREUR"),"ERREUR"))</f>
        <v/>
      </c>
      <c r="R110" s="38"/>
      <c r="S110" s="1" t="s">
        <v>261</v>
      </c>
      <c r="T110" s="39" t="s">
        <v>262</v>
      </c>
      <c r="U110" s="38" t="str">
        <f>SUBSTITUTE(SUBSTITUTE(SUBSTITUTE(SUBSTITUTE(SUBSTITUTE(SUBSTITUTE(SUBSTITUTE(SUBSTITUTE(UPPER(S110),"Å","A"),"É","E"),"È","E"),"Ê","E"),"Ë","E"),"Î","I"),"Ï","I"),"Ô","O")</f>
        <v>IRAK</v>
      </c>
      <c r="V110" s="38"/>
      <c r="W110" s="38"/>
      <c r="X110" s="53"/>
      <c r="Y110" s="42"/>
      <c r="Z110" s="42"/>
      <c r="AA110" s="42"/>
    </row>
    <row r="111" ht="13.75" customHeight="1">
      <c r="A111" s="14" t="s">
        <v>140</v>
      </c>
      <c r="B111" s="50"/>
      <c r="C111" s="43"/>
      <c r="D111" s="43"/>
      <c r="E111" s="44"/>
      <c r="F111" s="44"/>
      <c r="G111" s="44"/>
      <c r="H111" s="45"/>
      <c r="I111" s="54"/>
      <c r="J111" s="47" t="str">
        <f>IF(OR(K111="ERREUR",L111="ERREUR",M111="ERREUR",N111="ERREUR",O111="ERREUR",P111="ERREUR",Q111="ERREUR"),"ERREUR",IF(AND(K111="",L111="",M111="",N111="",O111="",P111="",Q111=""),"ligne vide",IF(OR(K111="",L111="",M111="",N111="",O111="",P111="",Q111=""),"ligne incomplète","Valide")))</f>
        <v xml:space="preserve">ligne vide</v>
      </c>
      <c r="K111" s="48" t="str">
        <f>IF(ISBLANK(B111),IF(ISBLANK(B112),T(B111),"ERREUR"),IF(ISNUMBER(B111),_xlfn.NUMBERVALUE(B111),IF(ISTEXT(B111),VALUE(B111),"ERREUR")))</f>
        <v/>
      </c>
      <c r="L111" s="38" t="str">
        <f>IF(COUNTIF($R$4:$R$6,C111)&gt;0,C111,IF(ISBLANK(C111),IF(ISBLANK(D111),T(C111),"ERREUR"),"ERREUR"))</f>
        <v/>
      </c>
      <c r="M111" s="49" t="str">
        <f>IF(ISBLANK(D111),IF(ISBLANK(D112),T(D111),"ERREUR"),IF(COUNTIF($T$4:$T$240,SUBSTITUTE(SUBSTITUTE(SUBSTITUTE(SUBSTITUTE(SUBSTITUTE(SUBSTITUTE(UPPER(D111),"Å","A"),"É","E"),"È","E"),"Ê","E"),"Î","I"),"Ï","I"))&gt;0,D111,IF(ISBLANK(D111),T(D111),"ERREUR")))</f>
        <v/>
      </c>
      <c r="N111" s="38" t="str">
        <f>IF(COUNTIF($V$4:$V$6,E111)&gt;0,E111,IF(ISBLANK(E111),IF(ISBLANK(E112),T(E111),"ERREUR"),"ERREUR"))</f>
        <v/>
      </c>
      <c r="O111" s="38" t="str">
        <f>IF(COUNTIF($W$4:$W$5,F111)&gt;0,F111,IF(ISBLANK(F111),IF(ISBLANK(F112),T(F111),"ERREUR"),"ERREUR"))</f>
        <v/>
      </c>
      <c r="P111" s="38" t="str">
        <f>IF(COUNTIF($X$4:$X$8,G111)&gt;0,G111,IF(ISBLANK(G111),IF(ISBLANK(G112),T(G111),"ERREUR"),"ERREUR"))</f>
        <v/>
      </c>
      <c r="Q111" s="38" t="str">
        <f>IF(ISNUMBER(H111),IF(INT(H111)=H111,H111,"ERREUR"),IF(ISBLANK(H111),IF(ISBLANK(H112),T(H111),"ERREUR"),"ERREUR"))</f>
        <v/>
      </c>
      <c r="R111" s="38"/>
      <c r="S111" s="1" t="s">
        <v>263</v>
      </c>
      <c r="T111" s="39" t="s">
        <v>264</v>
      </c>
      <c r="U111" s="38" t="str">
        <f>SUBSTITUTE(SUBSTITUTE(SUBSTITUTE(SUBSTITUTE(SUBSTITUTE(SUBSTITUTE(SUBSTITUTE(SUBSTITUTE(UPPER(S111),"Å","A"),"É","E"),"È","E"),"Ê","E"),"Ë","E"),"Î","I"),"Ï","I"),"Ô","O")</f>
        <v xml:space="preserve">IRAN, REPUBLIQUE ISLAMIQUE D'</v>
      </c>
      <c r="V111" s="38"/>
      <c r="W111" s="38"/>
      <c r="X111" s="53"/>
      <c r="Y111" s="42"/>
      <c r="Z111" s="42"/>
      <c r="AA111" s="42"/>
    </row>
    <row r="112" ht="13.75" customHeight="1">
      <c r="A112" s="14" t="s">
        <v>140</v>
      </c>
      <c r="B112" s="50"/>
      <c r="C112" s="43"/>
      <c r="D112" s="43"/>
      <c r="E112" s="44"/>
      <c r="F112" s="44"/>
      <c r="G112" s="44"/>
      <c r="H112" s="45"/>
      <c r="I112" s="54"/>
      <c r="J112" s="47" t="str">
        <f>IF(OR(K112="ERREUR",L112="ERREUR",M112="ERREUR",N112="ERREUR",O112="ERREUR",P112="ERREUR",Q112="ERREUR"),"ERREUR",IF(AND(K112="",L112="",M112="",N112="",O112="",P112="",Q112=""),"ligne vide",IF(OR(K112="",L112="",M112="",N112="",O112="",P112="",Q112=""),"ligne incomplète","Valide")))</f>
        <v xml:space="preserve">ligne vide</v>
      </c>
      <c r="K112" s="48" t="str">
        <f>IF(ISBLANK(B112),IF(ISBLANK(B113),T(B112),"ERREUR"),IF(ISNUMBER(B112),_xlfn.NUMBERVALUE(B112),IF(ISTEXT(B112),VALUE(B112),"ERREUR")))</f>
        <v/>
      </c>
      <c r="L112" s="38" t="str">
        <f>IF(COUNTIF($R$4:$R$6,C112)&gt;0,C112,IF(ISBLANK(C112),IF(ISBLANK(D112),T(C112),"ERREUR"),"ERREUR"))</f>
        <v/>
      </c>
      <c r="M112" s="49" t="str">
        <f>IF(ISBLANK(D112),IF(ISBLANK(D113),T(D112),"ERREUR"),IF(COUNTIF($T$4:$T$240,SUBSTITUTE(SUBSTITUTE(SUBSTITUTE(SUBSTITUTE(SUBSTITUTE(SUBSTITUTE(UPPER(D112),"Å","A"),"É","E"),"È","E"),"Ê","E"),"Î","I"),"Ï","I"))&gt;0,D112,IF(ISBLANK(D112),T(D112),"ERREUR")))</f>
        <v/>
      </c>
      <c r="N112" s="38" t="str">
        <f>IF(COUNTIF($V$4:$V$6,E112)&gt;0,E112,IF(ISBLANK(E112),IF(ISBLANK(E113),T(E112),"ERREUR"),"ERREUR"))</f>
        <v/>
      </c>
      <c r="O112" s="38" t="str">
        <f>IF(COUNTIF($W$4:$W$5,F112)&gt;0,F112,IF(ISBLANK(F112),IF(ISBLANK(F113),T(F112),"ERREUR"),"ERREUR"))</f>
        <v/>
      </c>
      <c r="P112" s="38" t="str">
        <f>IF(COUNTIF($X$4:$X$8,G112)&gt;0,G112,IF(ISBLANK(G112),IF(ISBLANK(G113),T(G112),"ERREUR"),"ERREUR"))</f>
        <v/>
      </c>
      <c r="Q112" s="38" t="str">
        <f>IF(ISNUMBER(H112),IF(INT(H112)=H112,H112,"ERREUR"),IF(ISBLANK(H112),IF(ISBLANK(H113),T(H112),"ERREUR"),"ERREUR"))</f>
        <v/>
      </c>
      <c r="R112" s="38"/>
      <c r="S112" s="1" t="s">
        <v>265</v>
      </c>
      <c r="T112" s="39" t="s">
        <v>266</v>
      </c>
      <c r="U112" s="38" t="str">
        <f>SUBSTITUTE(SUBSTITUTE(SUBSTITUTE(SUBSTITUTE(SUBSTITUTE(SUBSTITUTE(SUBSTITUTE(SUBSTITUTE(UPPER(S112),"Å","A"),"É","E"),"È","E"),"Ê","E"),"Ë","E"),"Î","I"),"Ï","I"),"Ô","O")</f>
        <v>IRLANDE</v>
      </c>
      <c r="V112" s="38"/>
      <c r="W112" s="38"/>
      <c r="X112" s="53"/>
      <c r="Y112" s="42"/>
      <c r="Z112" s="42"/>
      <c r="AA112" s="42"/>
    </row>
    <row r="113" ht="13.75" customHeight="1">
      <c r="A113" s="14" t="s">
        <v>140</v>
      </c>
      <c r="B113" s="50"/>
      <c r="C113" s="43"/>
      <c r="D113" s="43"/>
      <c r="E113" s="44"/>
      <c r="F113" s="44"/>
      <c r="G113" s="44"/>
      <c r="H113" s="45"/>
      <c r="I113" s="54"/>
      <c r="J113" s="47" t="str">
        <f>IF(OR(K113="ERREUR",L113="ERREUR",M113="ERREUR",N113="ERREUR",O113="ERREUR",P113="ERREUR",Q113="ERREUR"),"ERREUR",IF(AND(K113="",L113="",M113="",N113="",O113="",P113="",Q113=""),"ligne vide",IF(OR(K113="",L113="",M113="",N113="",O113="",P113="",Q113=""),"ligne incomplète","Valide")))</f>
        <v xml:space="preserve">ligne vide</v>
      </c>
      <c r="K113" s="48" t="str">
        <f>IF(ISBLANK(B113),IF(ISBLANK(B114),T(B113),"ERREUR"),IF(ISNUMBER(B113),_xlfn.NUMBERVALUE(B113),IF(ISTEXT(B113),VALUE(B113),"ERREUR")))</f>
        <v/>
      </c>
      <c r="L113" s="38" t="str">
        <f>IF(COUNTIF($R$4:$R$6,C113)&gt;0,C113,IF(ISBLANK(C113),IF(ISBLANK(D113),T(C113),"ERREUR"),"ERREUR"))</f>
        <v/>
      </c>
      <c r="M113" s="49" t="str">
        <f>IF(ISBLANK(D113),IF(ISBLANK(D114),T(D113),"ERREUR"),IF(COUNTIF($T$4:$T$240,SUBSTITUTE(SUBSTITUTE(SUBSTITUTE(SUBSTITUTE(SUBSTITUTE(SUBSTITUTE(UPPER(D113),"Å","A"),"É","E"),"È","E"),"Ê","E"),"Î","I"),"Ï","I"))&gt;0,D113,IF(ISBLANK(D113),T(D113),"ERREUR")))</f>
        <v/>
      </c>
      <c r="N113" s="38" t="str">
        <f>IF(COUNTIF($V$4:$V$6,E113)&gt;0,E113,IF(ISBLANK(E113),IF(ISBLANK(E114),T(E113),"ERREUR"),"ERREUR"))</f>
        <v/>
      </c>
      <c r="O113" s="38" t="str">
        <f>IF(COUNTIF($W$4:$W$5,F113)&gt;0,F113,IF(ISBLANK(F113),IF(ISBLANK(F114),T(F113),"ERREUR"),"ERREUR"))</f>
        <v/>
      </c>
      <c r="P113" s="38" t="str">
        <f>IF(COUNTIF($X$4:$X$8,G113)&gt;0,G113,IF(ISBLANK(G113),IF(ISBLANK(G114),T(G113),"ERREUR"),"ERREUR"))</f>
        <v/>
      </c>
      <c r="Q113" s="38" t="str">
        <f>IF(ISNUMBER(H113),IF(INT(H113)=H113,H113,"ERREUR"),IF(ISBLANK(H113),IF(ISBLANK(H114),T(H113),"ERREUR"),"ERREUR"))</f>
        <v/>
      </c>
      <c r="R113" s="38"/>
      <c r="S113" s="1" t="s">
        <v>267</v>
      </c>
      <c r="T113" s="39" t="s">
        <v>268</v>
      </c>
      <c r="U113" s="38" t="str">
        <f>SUBSTITUTE(SUBSTITUTE(SUBSTITUTE(SUBSTITUTE(SUBSTITUTE(SUBSTITUTE(SUBSTITUTE(SUBSTITUTE(UPPER(S113),"Å","A"),"É","E"),"È","E"),"Ê","E"),"Ë","E"),"Î","I"),"Ï","I"),"Ô","O")</f>
        <v>ISLANDE</v>
      </c>
      <c r="V113" s="38"/>
      <c r="W113" s="38"/>
      <c r="X113" s="53"/>
      <c r="Y113" s="42"/>
      <c r="Z113" s="42"/>
      <c r="AA113" s="42"/>
    </row>
    <row r="114" ht="13.75" customHeight="1">
      <c r="A114" s="14" t="s">
        <v>140</v>
      </c>
      <c r="B114" s="50"/>
      <c r="C114" s="43"/>
      <c r="D114" s="43"/>
      <c r="E114" s="44"/>
      <c r="F114" s="44"/>
      <c r="G114" s="44"/>
      <c r="H114" s="45"/>
      <c r="I114" s="54"/>
      <c r="J114" s="47" t="str">
        <f>IF(OR(K114="ERREUR",L114="ERREUR",M114="ERREUR",N114="ERREUR",O114="ERREUR",P114="ERREUR",Q114="ERREUR"),"ERREUR",IF(AND(K114="",L114="",M114="",N114="",O114="",P114="",Q114=""),"ligne vide",IF(OR(K114="",L114="",M114="",N114="",O114="",P114="",Q114=""),"ligne incomplète","Valide")))</f>
        <v xml:space="preserve">ligne vide</v>
      </c>
      <c r="K114" s="48" t="str">
        <f>IF(ISBLANK(B114),IF(ISBLANK(B115),T(B114),"ERREUR"),IF(ISNUMBER(B114),_xlfn.NUMBERVALUE(B114),IF(ISTEXT(B114),VALUE(B114),"ERREUR")))</f>
        <v/>
      </c>
      <c r="L114" s="38" t="str">
        <f>IF(COUNTIF($R$4:$R$6,C114)&gt;0,C114,IF(ISBLANK(C114),IF(ISBLANK(D114),T(C114),"ERREUR"),"ERREUR"))</f>
        <v/>
      </c>
      <c r="M114" s="49" t="str">
        <f>IF(ISBLANK(D114),IF(ISBLANK(D115),T(D114),"ERREUR"),IF(COUNTIF($T$4:$T$240,SUBSTITUTE(SUBSTITUTE(SUBSTITUTE(SUBSTITUTE(SUBSTITUTE(SUBSTITUTE(UPPER(D114),"Å","A"),"É","E"),"È","E"),"Ê","E"),"Î","I"),"Ï","I"))&gt;0,D114,IF(ISBLANK(D114),T(D114),"ERREUR")))</f>
        <v/>
      </c>
      <c r="N114" s="38" t="str">
        <f>IF(COUNTIF($V$4:$V$6,E114)&gt;0,E114,IF(ISBLANK(E114),IF(ISBLANK(E115),T(E114),"ERREUR"),"ERREUR"))</f>
        <v/>
      </c>
      <c r="O114" s="38" t="str">
        <f>IF(COUNTIF($W$4:$W$5,F114)&gt;0,F114,IF(ISBLANK(F114),IF(ISBLANK(F115),T(F114),"ERREUR"),"ERREUR"))</f>
        <v/>
      </c>
      <c r="P114" s="38" t="str">
        <f>IF(COUNTIF($X$4:$X$8,G114)&gt;0,G114,IF(ISBLANK(G114),IF(ISBLANK(G115),T(G114),"ERREUR"),"ERREUR"))</f>
        <v/>
      </c>
      <c r="Q114" s="38" t="str">
        <f>IF(ISNUMBER(H114),IF(INT(H114)=H114,H114,"ERREUR"),IF(ISBLANK(H114),IF(ISBLANK(H115),T(H114),"ERREUR"),"ERREUR"))</f>
        <v/>
      </c>
      <c r="R114" s="38"/>
      <c r="S114" s="1" t="s">
        <v>269</v>
      </c>
      <c r="T114" s="39" t="s">
        <v>270</v>
      </c>
      <c r="U114" s="38" t="str">
        <f>SUBSTITUTE(SUBSTITUTE(SUBSTITUTE(SUBSTITUTE(SUBSTITUTE(SUBSTITUTE(SUBSTITUTE(SUBSTITUTE(UPPER(S114),"Å","A"),"É","E"),"È","E"),"Ê","E"),"Ë","E"),"Î","I"),"Ï","I"),"Ô","O")</f>
        <v>ISRAEL</v>
      </c>
      <c r="V114" s="38"/>
      <c r="W114" s="38"/>
      <c r="X114" s="53"/>
      <c r="Y114" s="42"/>
      <c r="Z114" s="42"/>
      <c r="AA114" s="42"/>
    </row>
    <row r="115" ht="13.75" customHeight="1">
      <c r="A115" s="14" t="s">
        <v>140</v>
      </c>
      <c r="B115" s="50"/>
      <c r="C115" s="43"/>
      <c r="D115" s="43"/>
      <c r="E115" s="44"/>
      <c r="F115" s="44"/>
      <c r="G115" s="44"/>
      <c r="H115" s="45"/>
      <c r="I115" s="54"/>
      <c r="J115" s="47" t="str">
        <f>IF(OR(K115="ERREUR",L115="ERREUR",M115="ERREUR",N115="ERREUR",O115="ERREUR",P115="ERREUR",Q115="ERREUR"),"ERREUR",IF(AND(K115="",L115="",M115="",N115="",O115="",P115="",Q115=""),"ligne vide",IF(OR(K115="",L115="",M115="",N115="",O115="",P115="",Q115=""),"ligne incomplète","Valide")))</f>
        <v xml:space="preserve">ligne vide</v>
      </c>
      <c r="K115" s="48" t="str">
        <f>IF(ISBLANK(B115),IF(ISBLANK(B116),T(B115),"ERREUR"),IF(ISNUMBER(B115),_xlfn.NUMBERVALUE(B115),IF(ISTEXT(B115),VALUE(B115),"ERREUR")))</f>
        <v/>
      </c>
      <c r="L115" s="38" t="str">
        <f>IF(COUNTIF($R$4:$R$6,C115)&gt;0,C115,IF(ISBLANK(C115),IF(ISBLANK(D115),T(C115),"ERREUR"),"ERREUR"))</f>
        <v/>
      </c>
      <c r="M115" s="49" t="str">
        <f>IF(ISBLANK(D115),IF(ISBLANK(D116),T(D115),"ERREUR"),IF(COUNTIF($T$4:$T$240,SUBSTITUTE(SUBSTITUTE(SUBSTITUTE(SUBSTITUTE(SUBSTITUTE(SUBSTITUTE(UPPER(D115),"Å","A"),"É","E"),"È","E"),"Ê","E"),"Î","I"),"Ï","I"))&gt;0,D115,IF(ISBLANK(D115),T(D115),"ERREUR")))</f>
        <v/>
      </c>
      <c r="N115" s="38" t="str">
        <f>IF(COUNTIF($V$4:$V$6,E115)&gt;0,E115,IF(ISBLANK(E115),IF(ISBLANK(E116),T(E115),"ERREUR"),"ERREUR"))</f>
        <v/>
      </c>
      <c r="O115" s="38" t="str">
        <f>IF(COUNTIF($W$4:$W$5,F115)&gt;0,F115,IF(ISBLANK(F115),IF(ISBLANK(F116),T(F115),"ERREUR"),"ERREUR"))</f>
        <v/>
      </c>
      <c r="P115" s="38" t="str">
        <f>IF(COUNTIF($X$4:$X$8,G115)&gt;0,G115,IF(ISBLANK(G115),IF(ISBLANK(G116),T(G115),"ERREUR"),"ERREUR"))</f>
        <v/>
      </c>
      <c r="Q115" s="38" t="str">
        <f>IF(ISNUMBER(H115),IF(INT(H115)=H115,H115,"ERREUR"),IF(ISBLANK(H115),IF(ISBLANK(H116),T(H115),"ERREUR"),"ERREUR"))</f>
        <v/>
      </c>
      <c r="R115" s="38"/>
      <c r="S115" s="1" t="s">
        <v>271</v>
      </c>
      <c r="T115" s="39" t="s">
        <v>272</v>
      </c>
      <c r="U115" s="38" t="str">
        <f>SUBSTITUTE(SUBSTITUTE(SUBSTITUTE(SUBSTITUTE(SUBSTITUTE(SUBSTITUTE(SUBSTITUTE(SUBSTITUTE(UPPER(S115),"Å","A"),"É","E"),"È","E"),"Ê","E"),"Ë","E"),"Î","I"),"Ï","I"),"Ô","O")</f>
        <v>ITALIE</v>
      </c>
      <c r="V115" s="38"/>
      <c r="W115" s="38"/>
      <c r="X115" s="53"/>
      <c r="Y115" s="42"/>
      <c r="Z115" s="42"/>
      <c r="AA115" s="42"/>
    </row>
    <row r="116" ht="13.75" customHeight="1">
      <c r="A116" s="14" t="s">
        <v>140</v>
      </c>
      <c r="B116" s="50"/>
      <c r="C116" s="43"/>
      <c r="D116" s="43"/>
      <c r="E116" s="44"/>
      <c r="F116" s="44"/>
      <c r="G116" s="44"/>
      <c r="H116" s="45"/>
      <c r="I116" s="54"/>
      <c r="J116" s="47" t="str">
        <f>IF(OR(K116="ERREUR",L116="ERREUR",M116="ERREUR",N116="ERREUR",O116="ERREUR",P116="ERREUR",Q116="ERREUR"),"ERREUR",IF(AND(K116="",L116="",M116="",N116="",O116="",P116="",Q116=""),"ligne vide",IF(OR(K116="",L116="",M116="",N116="",O116="",P116="",Q116=""),"ligne incomplète","Valide")))</f>
        <v xml:space="preserve">ligne vide</v>
      </c>
      <c r="K116" s="48" t="str">
        <f>IF(ISBLANK(B116),IF(ISBLANK(B117),T(B116),"ERREUR"),IF(ISNUMBER(B116),_xlfn.NUMBERVALUE(B116),IF(ISTEXT(B116),VALUE(B116),"ERREUR")))</f>
        <v/>
      </c>
      <c r="L116" s="38" t="str">
        <f>IF(COUNTIF($R$4:$R$6,C116)&gt;0,C116,IF(ISBLANK(C116),IF(ISBLANK(D116),T(C116),"ERREUR"),"ERREUR"))</f>
        <v/>
      </c>
      <c r="M116" s="49" t="str">
        <f>IF(ISBLANK(D116),IF(ISBLANK(D117),T(D116),"ERREUR"),IF(COUNTIF($T$4:$T$240,SUBSTITUTE(SUBSTITUTE(SUBSTITUTE(SUBSTITUTE(SUBSTITUTE(SUBSTITUTE(UPPER(D116),"Å","A"),"É","E"),"È","E"),"Ê","E"),"Î","I"),"Ï","I"))&gt;0,D116,IF(ISBLANK(D116),T(D116),"ERREUR")))</f>
        <v/>
      </c>
      <c r="N116" s="38" t="str">
        <f>IF(COUNTIF($V$4:$V$6,E116)&gt;0,E116,IF(ISBLANK(E116),IF(ISBLANK(E117),T(E116),"ERREUR"),"ERREUR"))</f>
        <v/>
      </c>
      <c r="O116" s="38" t="str">
        <f>IF(COUNTIF($W$4:$W$5,F116)&gt;0,F116,IF(ISBLANK(F116),IF(ISBLANK(F117),T(F116),"ERREUR"),"ERREUR"))</f>
        <v/>
      </c>
      <c r="P116" s="38" t="str">
        <f>IF(COUNTIF($X$4:$X$8,G116)&gt;0,G116,IF(ISBLANK(G116),IF(ISBLANK(G117),T(G116),"ERREUR"),"ERREUR"))</f>
        <v/>
      </c>
      <c r="Q116" s="38" t="str">
        <f>IF(ISNUMBER(H116),IF(INT(H116)=H116,H116,"ERREUR"),IF(ISBLANK(H116),IF(ISBLANK(H117),T(H116),"ERREUR"),"ERREUR"))</f>
        <v/>
      </c>
      <c r="R116" s="38"/>
      <c r="S116" s="1" t="s">
        <v>273</v>
      </c>
      <c r="T116" s="39" t="s">
        <v>274</v>
      </c>
      <c r="U116" s="38" t="str">
        <f>SUBSTITUTE(SUBSTITUTE(SUBSTITUTE(SUBSTITUTE(SUBSTITUTE(SUBSTITUTE(SUBSTITUTE(SUBSTITUTE(UPPER(S116),"Å","A"),"É","E"),"È","E"),"Ê","E"),"Ë","E"),"Î","I"),"Ï","I"),"Ô","O")</f>
        <v>JAMAIQUE</v>
      </c>
      <c r="V116" s="38"/>
      <c r="W116" s="38"/>
      <c r="X116" s="53"/>
      <c r="Y116" s="42"/>
      <c r="Z116" s="42"/>
      <c r="AA116" s="42"/>
    </row>
    <row r="117" ht="13.75" customHeight="1">
      <c r="A117" s="14" t="s">
        <v>140</v>
      </c>
      <c r="B117" s="50"/>
      <c r="C117" s="43"/>
      <c r="D117" s="43"/>
      <c r="E117" s="44"/>
      <c r="F117" s="44"/>
      <c r="G117" s="44"/>
      <c r="H117" s="45"/>
      <c r="I117" s="54"/>
      <c r="J117" s="47" t="str">
        <f>IF(OR(K117="ERREUR",L117="ERREUR",M117="ERREUR",N117="ERREUR",O117="ERREUR",P117="ERREUR",Q117="ERREUR"),"ERREUR",IF(AND(K117="",L117="",M117="",N117="",O117="",P117="",Q117=""),"ligne vide",IF(OR(K117="",L117="",M117="",N117="",O117="",P117="",Q117=""),"ligne incomplète","Valide")))</f>
        <v xml:space="preserve">ligne vide</v>
      </c>
      <c r="K117" s="48" t="str">
        <f>IF(ISBLANK(B117),IF(ISBLANK(B118),T(B117),"ERREUR"),IF(ISNUMBER(B117),_xlfn.NUMBERVALUE(B117),IF(ISTEXT(B117),VALUE(B117),"ERREUR")))</f>
        <v/>
      </c>
      <c r="L117" s="38" t="str">
        <f>IF(COUNTIF($R$4:$R$6,C117)&gt;0,C117,IF(ISBLANK(C117),IF(ISBLANK(D117),T(C117),"ERREUR"),"ERREUR"))</f>
        <v/>
      </c>
      <c r="M117" s="49" t="str">
        <f>IF(ISBLANK(D117),IF(ISBLANK(D118),T(D117),"ERREUR"),IF(COUNTIF($T$4:$T$240,SUBSTITUTE(SUBSTITUTE(SUBSTITUTE(SUBSTITUTE(SUBSTITUTE(SUBSTITUTE(UPPER(D117),"Å","A"),"É","E"),"È","E"),"Ê","E"),"Î","I"),"Ï","I"))&gt;0,D117,IF(ISBLANK(D117),T(D117),"ERREUR")))</f>
        <v/>
      </c>
      <c r="N117" s="38" t="str">
        <f>IF(COUNTIF($V$4:$V$6,E117)&gt;0,E117,IF(ISBLANK(E117),IF(ISBLANK(E118),T(E117),"ERREUR"),"ERREUR"))</f>
        <v/>
      </c>
      <c r="O117" s="38" t="str">
        <f>IF(COUNTIF($W$4:$W$5,F117)&gt;0,F117,IF(ISBLANK(F117),IF(ISBLANK(F118),T(F117),"ERREUR"),"ERREUR"))</f>
        <v/>
      </c>
      <c r="P117" s="38" t="str">
        <f>IF(COUNTIF($X$4:$X$8,G117)&gt;0,G117,IF(ISBLANK(G117),IF(ISBLANK(G118),T(G117),"ERREUR"),"ERREUR"))</f>
        <v/>
      </c>
      <c r="Q117" s="38" t="str">
        <f>IF(ISNUMBER(H117),IF(INT(H117)=H117,H117,"ERREUR"),IF(ISBLANK(H117),IF(ISBLANK(H118),T(H117),"ERREUR"),"ERREUR"))</f>
        <v/>
      </c>
      <c r="R117" s="38"/>
      <c r="S117" s="1" t="s">
        <v>275</v>
      </c>
      <c r="T117" s="39" t="s">
        <v>276</v>
      </c>
      <c r="U117" s="38" t="str">
        <f>SUBSTITUTE(SUBSTITUTE(SUBSTITUTE(SUBSTITUTE(SUBSTITUTE(SUBSTITUTE(SUBSTITUTE(SUBSTITUTE(UPPER(S117),"Å","A"),"É","E"),"È","E"),"Ê","E"),"Ë","E"),"Î","I"),"Ï","I"),"Ô","O")</f>
        <v>JAPON</v>
      </c>
      <c r="V117" s="38"/>
      <c r="W117" s="38"/>
      <c r="X117" s="53"/>
      <c r="Y117" s="42"/>
      <c r="Z117" s="42"/>
      <c r="AA117" s="42"/>
    </row>
    <row r="118" ht="13.75" customHeight="1">
      <c r="A118" s="14" t="s">
        <v>140</v>
      </c>
      <c r="B118" s="50"/>
      <c r="C118" s="43"/>
      <c r="D118" s="43"/>
      <c r="E118" s="44"/>
      <c r="F118" s="44"/>
      <c r="G118" s="44"/>
      <c r="H118" s="45"/>
      <c r="I118" s="54"/>
      <c r="J118" s="47" t="str">
        <f>IF(OR(K118="ERREUR",L118="ERREUR",M118="ERREUR",N118="ERREUR",O118="ERREUR",P118="ERREUR",Q118="ERREUR"),"ERREUR",IF(AND(K118="",L118="",M118="",N118="",O118="",P118="",Q118=""),"ligne vide",IF(OR(K118="",L118="",M118="",N118="",O118="",P118="",Q118=""),"ligne incomplète","Valide")))</f>
        <v xml:space="preserve">ligne vide</v>
      </c>
      <c r="K118" s="48" t="str">
        <f>IF(ISBLANK(B118),IF(ISBLANK(B119),T(B118),"ERREUR"),IF(ISNUMBER(B118),_xlfn.NUMBERVALUE(B118),IF(ISTEXT(B118),VALUE(B118),"ERREUR")))</f>
        <v/>
      </c>
      <c r="L118" s="38" t="str">
        <f>IF(COUNTIF($R$4:$R$6,C118)&gt;0,C118,IF(ISBLANK(C118),IF(ISBLANK(D118),T(C118),"ERREUR"),"ERREUR"))</f>
        <v/>
      </c>
      <c r="M118" s="49" t="str">
        <f>IF(ISBLANK(D118),IF(ISBLANK(D119),T(D118),"ERREUR"),IF(COUNTIF($T$4:$T$240,SUBSTITUTE(SUBSTITUTE(SUBSTITUTE(SUBSTITUTE(SUBSTITUTE(SUBSTITUTE(UPPER(D118),"Å","A"),"É","E"),"È","E"),"Ê","E"),"Î","I"),"Ï","I"))&gt;0,D118,IF(ISBLANK(D118),T(D118),"ERREUR")))</f>
        <v/>
      </c>
      <c r="N118" s="38" t="str">
        <f>IF(COUNTIF($V$4:$V$6,E118)&gt;0,E118,IF(ISBLANK(E118),IF(ISBLANK(E119),T(E118),"ERREUR"),"ERREUR"))</f>
        <v/>
      </c>
      <c r="O118" s="38" t="str">
        <f>IF(COUNTIF($W$4:$W$5,F118)&gt;0,F118,IF(ISBLANK(F118),IF(ISBLANK(F119),T(F118),"ERREUR"),"ERREUR"))</f>
        <v/>
      </c>
      <c r="P118" s="38" t="str">
        <f>IF(COUNTIF($X$4:$X$8,G118)&gt;0,G118,IF(ISBLANK(G118),IF(ISBLANK(G119),T(G118),"ERREUR"),"ERREUR"))</f>
        <v/>
      </c>
      <c r="Q118" s="38" t="str">
        <f>IF(ISNUMBER(H118),IF(INT(H118)=H118,H118,"ERREUR"),IF(ISBLANK(H118),IF(ISBLANK(H119),T(H118),"ERREUR"),"ERREUR"))</f>
        <v/>
      </c>
      <c r="R118" s="38"/>
      <c r="S118" s="1" t="s">
        <v>277</v>
      </c>
      <c r="T118" s="39" t="s">
        <v>278</v>
      </c>
      <c r="U118" s="38" t="str">
        <f>SUBSTITUTE(SUBSTITUTE(SUBSTITUTE(SUBSTITUTE(SUBSTITUTE(SUBSTITUTE(SUBSTITUTE(SUBSTITUTE(UPPER(S118),"Å","A"),"É","E"),"È","E"),"Ê","E"),"Ë","E"),"Î","I"),"Ï","I"),"Ô","O")</f>
        <v>JERSEY</v>
      </c>
      <c r="V118" s="38"/>
      <c r="W118" s="38"/>
      <c r="X118" s="53"/>
      <c r="Y118" s="42"/>
      <c r="Z118" s="42"/>
      <c r="AA118" s="42"/>
    </row>
    <row r="119" ht="13.75" customHeight="1">
      <c r="A119" s="14" t="s">
        <v>140</v>
      </c>
      <c r="B119" s="50"/>
      <c r="C119" s="43"/>
      <c r="D119" s="43"/>
      <c r="E119" s="44"/>
      <c r="F119" s="44"/>
      <c r="G119" s="44"/>
      <c r="H119" s="45"/>
      <c r="I119" s="54"/>
      <c r="J119" s="47" t="str">
        <f>IF(OR(K119="ERREUR",L119="ERREUR",M119="ERREUR",N119="ERREUR",O119="ERREUR",P119="ERREUR",Q119="ERREUR"),"ERREUR",IF(AND(K119="",L119="",M119="",N119="",O119="",P119="",Q119=""),"ligne vide",IF(OR(K119="",L119="",M119="",N119="",O119="",P119="",Q119=""),"ligne incomplète","Valide")))</f>
        <v xml:space="preserve">ligne vide</v>
      </c>
      <c r="K119" s="48" t="str">
        <f>IF(ISBLANK(B119),IF(ISBLANK(B120),T(B119),"ERREUR"),IF(ISNUMBER(B119),_xlfn.NUMBERVALUE(B119),IF(ISTEXT(B119),VALUE(B119),"ERREUR")))</f>
        <v/>
      </c>
      <c r="L119" s="38" t="str">
        <f>IF(COUNTIF($R$4:$R$6,C119)&gt;0,C119,IF(ISBLANK(C119),IF(ISBLANK(D119),T(C119),"ERREUR"),"ERREUR"))</f>
        <v/>
      </c>
      <c r="M119" s="49" t="str">
        <f>IF(ISBLANK(D119),IF(ISBLANK(D120),T(D119),"ERREUR"),IF(COUNTIF($T$4:$T$240,SUBSTITUTE(SUBSTITUTE(SUBSTITUTE(SUBSTITUTE(SUBSTITUTE(SUBSTITUTE(UPPER(D119),"Å","A"),"É","E"),"È","E"),"Ê","E"),"Î","I"),"Ï","I"))&gt;0,D119,IF(ISBLANK(D119),T(D119),"ERREUR")))</f>
        <v/>
      </c>
      <c r="N119" s="38" t="str">
        <f>IF(COUNTIF($V$4:$V$6,E119)&gt;0,E119,IF(ISBLANK(E119),IF(ISBLANK(E120),T(E119),"ERREUR"),"ERREUR"))</f>
        <v/>
      </c>
      <c r="O119" s="38" t="str">
        <f>IF(COUNTIF($W$4:$W$5,F119)&gt;0,F119,IF(ISBLANK(F119),IF(ISBLANK(F120),T(F119),"ERREUR"),"ERREUR"))</f>
        <v/>
      </c>
      <c r="P119" s="38" t="str">
        <f>IF(COUNTIF($X$4:$X$8,G119)&gt;0,G119,IF(ISBLANK(G119),IF(ISBLANK(G120),T(G119),"ERREUR"),"ERREUR"))</f>
        <v/>
      </c>
      <c r="Q119" s="38" t="str">
        <f>IF(ISNUMBER(H119),IF(INT(H119)=H119,H119,"ERREUR"),IF(ISBLANK(H119),IF(ISBLANK(H120),T(H119),"ERREUR"),"ERREUR"))</f>
        <v/>
      </c>
      <c r="R119" s="38"/>
      <c r="S119" s="1" t="s">
        <v>279</v>
      </c>
      <c r="T119" s="39" t="s">
        <v>280</v>
      </c>
      <c r="U119" s="38" t="str">
        <f>SUBSTITUTE(SUBSTITUTE(SUBSTITUTE(SUBSTITUTE(SUBSTITUTE(SUBSTITUTE(SUBSTITUTE(SUBSTITUTE(UPPER(S119),"Å","A"),"É","E"),"È","E"),"Ê","E"),"Ë","E"),"Î","I"),"Ï","I"),"Ô","O")</f>
        <v>JORDANIE</v>
      </c>
      <c r="V119" s="38"/>
      <c r="W119" s="38"/>
      <c r="X119" s="53"/>
      <c r="Y119" s="42"/>
      <c r="Z119" s="42"/>
      <c r="AA119" s="42"/>
    </row>
    <row r="120" ht="13.75" customHeight="1">
      <c r="A120" s="14" t="s">
        <v>140</v>
      </c>
      <c r="B120" s="50"/>
      <c r="C120" s="43"/>
      <c r="D120" s="43"/>
      <c r="E120" s="44"/>
      <c r="F120" s="44"/>
      <c r="G120" s="44"/>
      <c r="H120" s="45"/>
      <c r="I120" s="54"/>
      <c r="J120" s="47" t="str">
        <f>IF(OR(K120="ERREUR",L120="ERREUR",M120="ERREUR",N120="ERREUR",O120="ERREUR",P120="ERREUR",Q120="ERREUR"),"ERREUR",IF(AND(K120="",L120="",M120="",N120="",O120="",P120="",Q120=""),"ligne vide",IF(OR(K120="",L120="",M120="",N120="",O120="",P120="",Q120=""),"ligne incomplète","Valide")))</f>
        <v xml:space="preserve">ligne vide</v>
      </c>
      <c r="K120" s="48" t="str">
        <f>IF(ISBLANK(B120),IF(ISBLANK(B121),T(B120),"ERREUR"),IF(ISNUMBER(B120),_xlfn.NUMBERVALUE(B120),IF(ISTEXT(B120),VALUE(B120),"ERREUR")))</f>
        <v/>
      </c>
      <c r="L120" s="38" t="str">
        <f>IF(COUNTIF($R$4:$R$6,C120)&gt;0,C120,IF(ISBLANK(C120),IF(ISBLANK(D120),T(C120),"ERREUR"),"ERREUR"))</f>
        <v/>
      </c>
      <c r="M120" s="49" t="str">
        <f>IF(ISBLANK(D120),IF(ISBLANK(D121),T(D120),"ERREUR"),IF(COUNTIF($T$4:$T$240,SUBSTITUTE(SUBSTITUTE(SUBSTITUTE(SUBSTITUTE(SUBSTITUTE(SUBSTITUTE(UPPER(D120),"Å","A"),"É","E"),"È","E"),"Ê","E"),"Î","I"),"Ï","I"))&gt;0,D120,IF(ISBLANK(D120),T(D120),"ERREUR")))</f>
        <v/>
      </c>
      <c r="N120" s="38" t="str">
        <f>IF(COUNTIF($V$4:$V$6,E120)&gt;0,E120,IF(ISBLANK(E120),IF(ISBLANK(E121),T(E120),"ERREUR"),"ERREUR"))</f>
        <v/>
      </c>
      <c r="O120" s="38" t="str">
        <f>IF(COUNTIF($W$4:$W$5,F120)&gt;0,F120,IF(ISBLANK(F120),IF(ISBLANK(F121),T(F120),"ERREUR"),"ERREUR"))</f>
        <v/>
      </c>
      <c r="P120" s="38" t="str">
        <f>IF(COUNTIF($X$4:$X$8,G120)&gt;0,G120,IF(ISBLANK(G120),IF(ISBLANK(G121),T(G120),"ERREUR"),"ERREUR"))</f>
        <v/>
      </c>
      <c r="Q120" s="38" t="str">
        <f>IF(ISNUMBER(H120),IF(INT(H120)=H120,H120,"ERREUR"),IF(ISBLANK(H120),IF(ISBLANK(H121),T(H120),"ERREUR"),"ERREUR"))</f>
        <v/>
      </c>
      <c r="R120" s="38"/>
      <c r="S120" s="1" t="s">
        <v>281</v>
      </c>
      <c r="T120" s="39" t="s">
        <v>282</v>
      </c>
      <c r="U120" s="38" t="str">
        <f>SUBSTITUTE(SUBSTITUTE(SUBSTITUTE(SUBSTITUTE(SUBSTITUTE(SUBSTITUTE(SUBSTITUTE(SUBSTITUTE(UPPER(S120),"Å","A"),"É","E"),"È","E"),"Ê","E"),"Ë","E"),"Î","I"),"Ï","I"),"Ô","O")</f>
        <v>KAZAKHSTAN</v>
      </c>
      <c r="V120" s="38"/>
      <c r="W120" s="38"/>
      <c r="X120" s="53"/>
      <c r="Y120" s="42"/>
      <c r="Z120" s="42"/>
      <c r="AA120" s="42"/>
    </row>
    <row r="121" ht="13.75" customHeight="1">
      <c r="A121" s="14" t="s">
        <v>140</v>
      </c>
      <c r="B121" s="50"/>
      <c r="C121" s="43"/>
      <c r="D121" s="43"/>
      <c r="E121" s="44"/>
      <c r="F121" s="44"/>
      <c r="G121" s="44"/>
      <c r="H121" s="45"/>
      <c r="I121" s="54"/>
      <c r="J121" s="47" t="str">
        <f>IF(OR(K121="ERREUR",L121="ERREUR",M121="ERREUR",N121="ERREUR",O121="ERREUR",P121="ERREUR",Q121="ERREUR"),"ERREUR",IF(AND(K121="",L121="",M121="",N121="",O121="",P121="",Q121=""),"ligne vide",IF(OR(K121="",L121="",M121="",N121="",O121="",P121="",Q121=""),"ligne incomplète","Valide")))</f>
        <v xml:space="preserve">ligne vide</v>
      </c>
      <c r="K121" s="48" t="str">
        <f>IF(ISBLANK(B121),IF(ISBLANK(B122),T(B121),"ERREUR"),IF(ISNUMBER(B121),_xlfn.NUMBERVALUE(B121),IF(ISTEXT(B121),VALUE(B121),"ERREUR")))</f>
        <v/>
      </c>
      <c r="L121" s="38" t="str">
        <f>IF(COUNTIF($R$4:$R$6,C121)&gt;0,C121,IF(ISBLANK(C121),IF(ISBLANK(D121),T(C121),"ERREUR"),"ERREUR"))</f>
        <v/>
      </c>
      <c r="M121" s="49" t="str">
        <f>IF(ISBLANK(D121),IF(ISBLANK(D122),T(D121),"ERREUR"),IF(COUNTIF($T$4:$T$240,SUBSTITUTE(SUBSTITUTE(SUBSTITUTE(SUBSTITUTE(SUBSTITUTE(SUBSTITUTE(UPPER(D121),"Å","A"),"É","E"),"È","E"),"Ê","E"),"Î","I"),"Ï","I"))&gt;0,D121,IF(ISBLANK(D121),T(D121),"ERREUR")))</f>
        <v/>
      </c>
      <c r="N121" s="38" t="str">
        <f>IF(COUNTIF($V$4:$V$6,E121)&gt;0,E121,IF(ISBLANK(E121),IF(ISBLANK(E122),T(E121),"ERREUR"),"ERREUR"))</f>
        <v/>
      </c>
      <c r="O121" s="38" t="str">
        <f>IF(COUNTIF($W$4:$W$5,F121)&gt;0,F121,IF(ISBLANK(F121),IF(ISBLANK(F122),T(F121),"ERREUR"),"ERREUR"))</f>
        <v/>
      </c>
      <c r="P121" s="38" t="str">
        <f>IF(COUNTIF($X$4:$X$8,G121)&gt;0,G121,IF(ISBLANK(G121),IF(ISBLANK(G122),T(G121),"ERREUR"),"ERREUR"))</f>
        <v/>
      </c>
      <c r="Q121" s="38" t="str">
        <f>IF(ISNUMBER(H121),IF(INT(H121)=H121,H121,"ERREUR"),IF(ISBLANK(H121),IF(ISBLANK(H122),T(H121),"ERREUR"),"ERREUR"))</f>
        <v/>
      </c>
      <c r="R121" s="38"/>
      <c r="S121" s="1" t="s">
        <v>283</v>
      </c>
      <c r="T121" s="39" t="s">
        <v>284</v>
      </c>
      <c r="U121" s="38" t="str">
        <f>SUBSTITUTE(SUBSTITUTE(SUBSTITUTE(SUBSTITUTE(SUBSTITUTE(SUBSTITUTE(SUBSTITUTE(SUBSTITUTE(UPPER(S121),"Å","A"),"É","E"),"È","E"),"Ê","E"),"Ë","E"),"Î","I"),"Ï","I"),"Ô","O")</f>
        <v>KENYA</v>
      </c>
      <c r="V121" s="38"/>
      <c r="W121" s="38"/>
      <c r="X121" s="53"/>
      <c r="Y121" s="42"/>
      <c r="Z121" s="42"/>
      <c r="AA121" s="42"/>
    </row>
    <row r="122" ht="13.75" customHeight="1">
      <c r="A122" s="14" t="s">
        <v>140</v>
      </c>
      <c r="B122" s="50"/>
      <c r="C122" s="43"/>
      <c r="D122" s="43"/>
      <c r="E122" s="44"/>
      <c r="F122" s="44"/>
      <c r="G122" s="44"/>
      <c r="H122" s="45"/>
      <c r="I122" s="54"/>
      <c r="J122" s="47" t="str">
        <f>IF(OR(K122="ERREUR",L122="ERREUR",M122="ERREUR",N122="ERREUR",O122="ERREUR",P122="ERREUR",Q122="ERREUR"),"ERREUR",IF(AND(K122="",L122="",M122="",N122="",O122="",P122="",Q122=""),"ligne vide",IF(OR(K122="",L122="",M122="",N122="",O122="",P122="",Q122=""),"ligne incomplète","Valide")))</f>
        <v xml:space="preserve">ligne vide</v>
      </c>
      <c r="K122" s="48" t="str">
        <f>IF(ISBLANK(B122),IF(ISBLANK(B123),T(B122),"ERREUR"),IF(ISNUMBER(B122),_xlfn.NUMBERVALUE(B122),IF(ISTEXT(B122),VALUE(B122),"ERREUR")))</f>
        <v/>
      </c>
      <c r="L122" s="38" t="str">
        <f>IF(COUNTIF($R$4:$R$6,C122)&gt;0,C122,IF(ISBLANK(C122),IF(ISBLANK(D122),T(C122),"ERREUR"),"ERREUR"))</f>
        <v/>
      </c>
      <c r="M122" s="49" t="str">
        <f>IF(ISBLANK(D122),IF(ISBLANK(D123),T(D122),"ERREUR"),IF(COUNTIF($T$4:$T$240,SUBSTITUTE(SUBSTITUTE(SUBSTITUTE(SUBSTITUTE(SUBSTITUTE(SUBSTITUTE(UPPER(D122),"Å","A"),"É","E"),"È","E"),"Ê","E"),"Î","I"),"Ï","I"))&gt;0,D122,IF(ISBLANK(D122),T(D122),"ERREUR")))</f>
        <v/>
      </c>
      <c r="N122" s="38" t="str">
        <f>IF(COUNTIF($V$4:$V$6,E122)&gt;0,E122,IF(ISBLANK(E122),IF(ISBLANK(E123),T(E122),"ERREUR"),"ERREUR"))</f>
        <v/>
      </c>
      <c r="O122" s="38" t="str">
        <f>IF(COUNTIF($W$4:$W$5,F122)&gt;0,F122,IF(ISBLANK(F122),IF(ISBLANK(F123),T(F122),"ERREUR"),"ERREUR"))</f>
        <v/>
      </c>
      <c r="P122" s="38" t="str">
        <f>IF(COUNTIF($X$4:$X$8,G122)&gt;0,G122,IF(ISBLANK(G122),IF(ISBLANK(G123),T(G122),"ERREUR"),"ERREUR"))</f>
        <v/>
      </c>
      <c r="Q122" s="38" t="str">
        <f>IF(ISNUMBER(H122),IF(INT(H122)=H122,H122,"ERREUR"),IF(ISBLANK(H122),IF(ISBLANK(H123),T(H122),"ERREUR"),"ERREUR"))</f>
        <v/>
      </c>
      <c r="R122" s="38"/>
      <c r="S122" s="1" t="s">
        <v>285</v>
      </c>
      <c r="T122" s="39" t="s">
        <v>286</v>
      </c>
      <c r="U122" s="38" t="str">
        <f>SUBSTITUTE(SUBSTITUTE(SUBSTITUTE(SUBSTITUTE(SUBSTITUTE(SUBSTITUTE(SUBSTITUTE(SUBSTITUTE(UPPER(S122),"Å","A"),"É","E"),"È","E"),"Ê","E"),"Ë","E"),"Î","I"),"Ï","I"),"Ô","O")</f>
        <v>KIRGHIZISTAN</v>
      </c>
      <c r="V122" s="38"/>
      <c r="W122" s="38"/>
      <c r="X122" s="53"/>
      <c r="Y122" s="42"/>
      <c r="Z122" s="42"/>
      <c r="AA122" s="42"/>
    </row>
    <row r="123" ht="13.75" customHeight="1">
      <c r="A123" s="14" t="s">
        <v>140</v>
      </c>
      <c r="B123" s="50"/>
      <c r="C123" s="43"/>
      <c r="D123" s="43"/>
      <c r="E123" s="44"/>
      <c r="F123" s="44"/>
      <c r="G123" s="44"/>
      <c r="H123" s="45"/>
      <c r="I123" s="54"/>
      <c r="J123" s="47" t="str">
        <f>IF(OR(K123="ERREUR",L123="ERREUR",M123="ERREUR",N123="ERREUR",O123="ERREUR",P123="ERREUR",Q123="ERREUR"),"ERREUR",IF(AND(K123="",L123="",M123="",N123="",O123="",P123="",Q123=""),"ligne vide",IF(OR(K123="",L123="",M123="",N123="",O123="",P123="",Q123=""),"ligne incomplète","Valide")))</f>
        <v xml:space="preserve">ligne vide</v>
      </c>
      <c r="K123" s="48" t="str">
        <f>IF(ISBLANK(B123),IF(ISBLANK(B124),T(B123),"ERREUR"),IF(ISNUMBER(B123),_xlfn.NUMBERVALUE(B123),IF(ISTEXT(B123),VALUE(B123),"ERREUR")))</f>
        <v/>
      </c>
      <c r="L123" s="38" t="str">
        <f>IF(COUNTIF($R$4:$R$6,C123)&gt;0,C123,IF(ISBLANK(C123),IF(ISBLANK(D123),T(C123),"ERREUR"),"ERREUR"))</f>
        <v/>
      </c>
      <c r="M123" s="49" t="str">
        <f>IF(ISBLANK(D123),IF(ISBLANK(D124),T(D123),"ERREUR"),IF(COUNTIF($T$4:$T$240,SUBSTITUTE(SUBSTITUTE(SUBSTITUTE(SUBSTITUTE(SUBSTITUTE(SUBSTITUTE(UPPER(D123),"Å","A"),"É","E"),"È","E"),"Ê","E"),"Î","I"),"Ï","I"))&gt;0,D123,IF(ISBLANK(D123),T(D123),"ERREUR")))</f>
        <v/>
      </c>
      <c r="N123" s="38" t="str">
        <f>IF(COUNTIF($V$4:$V$6,E123)&gt;0,E123,IF(ISBLANK(E123),IF(ISBLANK(E124),T(E123),"ERREUR"),"ERREUR"))</f>
        <v/>
      </c>
      <c r="O123" s="38" t="str">
        <f>IF(COUNTIF($W$4:$W$5,F123)&gt;0,F123,IF(ISBLANK(F123),IF(ISBLANK(F124),T(F123),"ERREUR"),"ERREUR"))</f>
        <v/>
      </c>
      <c r="P123" s="38" t="str">
        <f>IF(COUNTIF($X$4:$X$8,G123)&gt;0,G123,IF(ISBLANK(G123),IF(ISBLANK(G124),T(G123),"ERREUR"),"ERREUR"))</f>
        <v/>
      </c>
      <c r="Q123" s="38" t="str">
        <f>IF(ISNUMBER(H123),IF(INT(H123)=H123,H123,"ERREUR"),IF(ISBLANK(H123),IF(ISBLANK(H124),T(H123),"ERREUR"),"ERREUR"))</f>
        <v/>
      </c>
      <c r="R123" s="38"/>
      <c r="S123" s="1" t="s">
        <v>287</v>
      </c>
      <c r="T123" s="39" t="s">
        <v>288</v>
      </c>
      <c r="U123" s="38" t="str">
        <f>SUBSTITUTE(SUBSTITUTE(SUBSTITUTE(SUBSTITUTE(SUBSTITUTE(SUBSTITUTE(SUBSTITUTE(SUBSTITUTE(UPPER(S123),"Å","A"),"É","E"),"È","E"),"Ê","E"),"Ë","E"),"Î","I"),"Ï","I"),"Ô","O")</f>
        <v>KIRIBATI</v>
      </c>
      <c r="V123" s="38"/>
      <c r="W123" s="38"/>
      <c r="X123" s="53"/>
      <c r="Y123" s="42"/>
      <c r="Z123" s="42"/>
      <c r="AA123" s="42"/>
    </row>
    <row r="124" ht="13.75" customHeight="1">
      <c r="A124" s="14" t="s">
        <v>140</v>
      </c>
      <c r="B124" s="50"/>
      <c r="C124" s="43"/>
      <c r="D124" s="43"/>
      <c r="E124" s="44"/>
      <c r="F124" s="44"/>
      <c r="G124" s="44"/>
      <c r="H124" s="45"/>
      <c r="I124" s="54"/>
      <c r="J124" s="47" t="str">
        <f>IF(OR(K124="ERREUR",L124="ERREUR",M124="ERREUR",N124="ERREUR",O124="ERREUR",P124="ERREUR",Q124="ERREUR"),"ERREUR",IF(AND(K124="",L124="",M124="",N124="",O124="",P124="",Q124=""),"ligne vide",IF(OR(K124="",L124="",M124="",N124="",O124="",P124="",Q124=""),"ligne incomplète","Valide")))</f>
        <v xml:space="preserve">ligne vide</v>
      </c>
      <c r="K124" s="48" t="str">
        <f>IF(ISBLANK(B124),IF(ISBLANK(B125),T(B124),"ERREUR"),IF(ISNUMBER(B124),_xlfn.NUMBERVALUE(B124),IF(ISTEXT(B124),VALUE(B124),"ERREUR")))</f>
        <v/>
      </c>
      <c r="L124" s="38" t="str">
        <f>IF(COUNTIF($R$4:$R$6,C124)&gt;0,C124,IF(ISBLANK(C124),IF(ISBLANK(D124),T(C124),"ERREUR"),"ERREUR"))</f>
        <v/>
      </c>
      <c r="M124" s="49" t="str">
        <f>IF(ISBLANK(D124),IF(ISBLANK(D125),T(D124),"ERREUR"),IF(COUNTIF($T$4:$T$240,SUBSTITUTE(SUBSTITUTE(SUBSTITUTE(SUBSTITUTE(SUBSTITUTE(SUBSTITUTE(UPPER(D124),"Å","A"),"É","E"),"È","E"),"Ê","E"),"Î","I"),"Ï","I"))&gt;0,D124,IF(ISBLANK(D124),T(D124),"ERREUR")))</f>
        <v/>
      </c>
      <c r="N124" s="38" t="str">
        <f>IF(COUNTIF($V$4:$V$6,E124)&gt;0,E124,IF(ISBLANK(E124),IF(ISBLANK(E125),T(E124),"ERREUR"),"ERREUR"))</f>
        <v/>
      </c>
      <c r="O124" s="38" t="str">
        <f>IF(COUNTIF($W$4:$W$5,F124)&gt;0,F124,IF(ISBLANK(F124),IF(ISBLANK(F125),T(F124),"ERREUR"),"ERREUR"))</f>
        <v/>
      </c>
      <c r="P124" s="38" t="str">
        <f>IF(COUNTIF($X$4:$X$8,G124)&gt;0,G124,IF(ISBLANK(G124),IF(ISBLANK(G125),T(G124),"ERREUR"),"ERREUR"))</f>
        <v/>
      </c>
      <c r="Q124" s="38" t="str">
        <f>IF(ISNUMBER(H124),IF(INT(H124)=H124,H124,"ERREUR"),IF(ISBLANK(H124),IF(ISBLANK(H125),T(H124),"ERREUR"),"ERREUR"))</f>
        <v/>
      </c>
      <c r="R124" s="38"/>
      <c r="S124" s="1" t="s">
        <v>289</v>
      </c>
      <c r="T124" s="39" t="s">
        <v>290</v>
      </c>
      <c r="U124" s="38" t="str">
        <f>SUBSTITUTE(SUBSTITUTE(SUBSTITUTE(SUBSTITUTE(SUBSTITUTE(SUBSTITUTE(SUBSTITUTE(SUBSTITUTE(UPPER(S124),"Å","A"),"É","E"),"È","E"),"Ê","E"),"Ë","E"),"Î","I"),"Ï","I"),"Ô","O")</f>
        <v>KOSOVO</v>
      </c>
      <c r="V124" s="38"/>
      <c r="W124" s="38"/>
      <c r="X124" s="53"/>
      <c r="Y124" s="42"/>
      <c r="Z124" s="42"/>
      <c r="AA124" s="42"/>
    </row>
    <row r="125" ht="13.75" customHeight="1">
      <c r="A125" s="14" t="s">
        <v>140</v>
      </c>
      <c r="B125" s="50"/>
      <c r="C125" s="43"/>
      <c r="D125" s="43"/>
      <c r="E125" s="44"/>
      <c r="F125" s="44"/>
      <c r="G125" s="44"/>
      <c r="H125" s="45"/>
      <c r="I125" s="54"/>
      <c r="J125" s="47" t="str">
        <f>IF(OR(K125="ERREUR",L125="ERREUR",M125="ERREUR",N125="ERREUR",O125="ERREUR",P125="ERREUR",Q125="ERREUR"),"ERREUR",IF(AND(K125="",L125="",M125="",N125="",O125="",P125="",Q125=""),"ligne vide",IF(OR(K125="",L125="",M125="",N125="",O125="",P125="",Q125=""),"ligne incomplète","Valide")))</f>
        <v xml:space="preserve">ligne vide</v>
      </c>
      <c r="K125" s="48" t="str">
        <f>IF(ISBLANK(B125),IF(ISBLANK(B126),T(B125),"ERREUR"),IF(ISNUMBER(B125),_xlfn.NUMBERVALUE(B125),IF(ISTEXT(B125),VALUE(B125),"ERREUR")))</f>
        <v/>
      </c>
      <c r="L125" s="38" t="str">
        <f>IF(COUNTIF($R$4:$R$6,C125)&gt;0,C125,IF(ISBLANK(C125),IF(ISBLANK(D125),T(C125),"ERREUR"),"ERREUR"))</f>
        <v/>
      </c>
      <c r="M125" s="49" t="str">
        <f>IF(ISBLANK(D125),IF(ISBLANK(D126),T(D125),"ERREUR"),IF(COUNTIF($T$4:$T$240,SUBSTITUTE(SUBSTITUTE(SUBSTITUTE(SUBSTITUTE(SUBSTITUTE(SUBSTITUTE(UPPER(D125),"Å","A"),"É","E"),"È","E"),"Ê","E"),"Î","I"),"Ï","I"))&gt;0,D125,IF(ISBLANK(D125),T(D125),"ERREUR")))</f>
        <v/>
      </c>
      <c r="N125" s="38" t="str">
        <f>IF(COUNTIF($V$4:$V$6,E125)&gt;0,E125,IF(ISBLANK(E125),IF(ISBLANK(E126),T(E125),"ERREUR"),"ERREUR"))</f>
        <v/>
      </c>
      <c r="O125" s="38" t="str">
        <f>IF(COUNTIF($W$4:$W$5,F125)&gt;0,F125,IF(ISBLANK(F125),IF(ISBLANK(F126),T(F125),"ERREUR"),"ERREUR"))</f>
        <v/>
      </c>
      <c r="P125" s="38" t="str">
        <f>IF(COUNTIF($X$4:$X$8,G125)&gt;0,G125,IF(ISBLANK(G125),IF(ISBLANK(G126),T(G125),"ERREUR"),"ERREUR"))</f>
        <v/>
      </c>
      <c r="Q125" s="38" t="str">
        <f>IF(ISNUMBER(H125),IF(INT(H125)=H125,H125,"ERREUR"),IF(ISBLANK(H125),IF(ISBLANK(H126),T(H125),"ERREUR"),"ERREUR"))</f>
        <v/>
      </c>
      <c r="R125" s="38"/>
      <c r="S125" s="1" t="s">
        <v>291</v>
      </c>
      <c r="T125" s="39" t="s">
        <v>292</v>
      </c>
      <c r="U125" s="38" t="str">
        <f>SUBSTITUTE(SUBSTITUTE(SUBSTITUTE(SUBSTITUTE(SUBSTITUTE(SUBSTITUTE(SUBSTITUTE(SUBSTITUTE(UPPER(S125),"Å","A"),"É","E"),"È","E"),"Ê","E"),"Ë","E"),"Î","I"),"Ï","I"),"Ô","O")</f>
        <v>KOWEIT</v>
      </c>
      <c r="V125" s="38"/>
      <c r="W125" s="38"/>
      <c r="X125" s="53"/>
      <c r="Y125" s="42"/>
      <c r="Z125" s="42"/>
      <c r="AA125" s="42"/>
    </row>
    <row r="126" ht="13.75" customHeight="1">
      <c r="A126" s="14" t="s">
        <v>140</v>
      </c>
      <c r="B126" s="50"/>
      <c r="C126" s="43"/>
      <c r="D126" s="43"/>
      <c r="E126" s="44"/>
      <c r="F126" s="44"/>
      <c r="G126" s="44"/>
      <c r="H126" s="45"/>
      <c r="I126" s="54"/>
      <c r="J126" s="47" t="str">
        <f>IF(OR(K126="ERREUR",L126="ERREUR",M126="ERREUR",N126="ERREUR",O126="ERREUR",P126="ERREUR",Q126="ERREUR"),"ERREUR",IF(AND(K126="",L126="",M126="",N126="",O126="",P126="",Q126=""),"ligne vide",IF(OR(K126="",L126="",M126="",N126="",O126="",P126="",Q126=""),"ligne incomplète","Valide")))</f>
        <v xml:space="preserve">ligne vide</v>
      </c>
      <c r="K126" s="48" t="str">
        <f>IF(ISBLANK(B126),IF(ISBLANK(B127),T(B126),"ERREUR"),IF(ISNUMBER(B126),_xlfn.NUMBERVALUE(B126),IF(ISTEXT(B126),VALUE(B126),"ERREUR")))</f>
        <v/>
      </c>
      <c r="L126" s="38" t="str">
        <f>IF(COUNTIF($R$4:$R$6,C126)&gt;0,C126,IF(ISBLANK(C126),IF(ISBLANK(D126),T(C126),"ERREUR"),"ERREUR"))</f>
        <v/>
      </c>
      <c r="M126" s="49" t="str">
        <f>IF(ISBLANK(D126),IF(ISBLANK(D127),T(D126),"ERREUR"),IF(COUNTIF($T$4:$T$240,SUBSTITUTE(SUBSTITUTE(SUBSTITUTE(SUBSTITUTE(SUBSTITUTE(SUBSTITUTE(UPPER(D126),"Å","A"),"É","E"),"È","E"),"Ê","E"),"Î","I"),"Ï","I"))&gt;0,D126,IF(ISBLANK(D126),T(D126),"ERREUR")))</f>
        <v/>
      </c>
      <c r="N126" s="38" t="str">
        <f>IF(COUNTIF($V$4:$V$6,E126)&gt;0,E126,IF(ISBLANK(E126),IF(ISBLANK(E127),T(E126),"ERREUR"),"ERREUR"))</f>
        <v/>
      </c>
      <c r="O126" s="38" t="str">
        <f>IF(COUNTIF($W$4:$W$5,F126)&gt;0,F126,IF(ISBLANK(F126),IF(ISBLANK(F127),T(F126),"ERREUR"),"ERREUR"))</f>
        <v/>
      </c>
      <c r="P126" s="38" t="str">
        <f>IF(COUNTIF($X$4:$X$8,G126)&gt;0,G126,IF(ISBLANK(G126),IF(ISBLANK(G127),T(G126),"ERREUR"),"ERREUR"))</f>
        <v/>
      </c>
      <c r="Q126" s="38" t="str">
        <f>IF(ISNUMBER(H126),IF(INT(H126)=H126,H126,"ERREUR"),IF(ISBLANK(H126),IF(ISBLANK(H127),T(H126),"ERREUR"),"ERREUR"))</f>
        <v/>
      </c>
      <c r="R126" s="38"/>
      <c r="S126" s="1" t="s">
        <v>293</v>
      </c>
      <c r="T126" s="39" t="s">
        <v>294</v>
      </c>
      <c r="U126" s="38" t="str">
        <f>SUBSTITUTE(SUBSTITUTE(SUBSTITUTE(SUBSTITUTE(SUBSTITUTE(SUBSTITUTE(SUBSTITUTE(SUBSTITUTE(UPPER(S126),"Å","A"),"É","E"),"È","E"),"Ê","E"),"Ë","E"),"Î","I"),"Ï","I"),"Ô","O")</f>
        <v xml:space="preserve">LAO, REPUBLIQUE DEMOCRATIQUE POPULAIRE</v>
      </c>
      <c r="V126" s="38"/>
      <c r="W126" s="38"/>
      <c r="X126" s="53"/>
      <c r="Y126" s="42"/>
      <c r="Z126" s="42"/>
      <c r="AA126" s="42"/>
    </row>
    <row r="127" ht="13.75" customHeight="1">
      <c r="A127" s="14" t="s">
        <v>140</v>
      </c>
      <c r="B127" s="50"/>
      <c r="C127" s="43"/>
      <c r="D127" s="43"/>
      <c r="E127" s="44"/>
      <c r="F127" s="44"/>
      <c r="G127" s="44"/>
      <c r="H127" s="45"/>
      <c r="I127" s="54"/>
      <c r="J127" s="47" t="str">
        <f>IF(OR(K127="ERREUR",L127="ERREUR",M127="ERREUR",N127="ERREUR",O127="ERREUR",P127="ERREUR",Q127="ERREUR"),"ERREUR",IF(AND(K127="",L127="",M127="",N127="",O127="",P127="",Q127=""),"ligne vide",IF(OR(K127="",L127="",M127="",N127="",O127="",P127="",Q127=""),"ligne incomplète","Valide")))</f>
        <v xml:space="preserve">ligne vide</v>
      </c>
      <c r="K127" s="48" t="str">
        <f>IF(ISBLANK(B127),IF(ISBLANK(B128),T(B127),"ERREUR"),IF(ISNUMBER(B127),_xlfn.NUMBERVALUE(B127),IF(ISTEXT(B127),VALUE(B127),"ERREUR")))</f>
        <v/>
      </c>
      <c r="L127" s="38" t="str">
        <f>IF(COUNTIF($R$4:$R$6,C127)&gt;0,C127,IF(ISBLANK(C127),IF(ISBLANK(D127),T(C127),"ERREUR"),"ERREUR"))</f>
        <v/>
      </c>
      <c r="M127" s="49" t="str">
        <f>IF(ISBLANK(D127),IF(ISBLANK(D128),T(D127),"ERREUR"),IF(COUNTIF($T$4:$T$240,SUBSTITUTE(SUBSTITUTE(SUBSTITUTE(SUBSTITUTE(SUBSTITUTE(SUBSTITUTE(UPPER(D127),"Å","A"),"É","E"),"È","E"),"Ê","E"),"Î","I"),"Ï","I"))&gt;0,D127,IF(ISBLANK(D127),T(D127),"ERREUR")))</f>
        <v/>
      </c>
      <c r="N127" s="38" t="str">
        <f>IF(COUNTIF($V$4:$V$6,E127)&gt;0,E127,IF(ISBLANK(E127),IF(ISBLANK(E128),T(E127),"ERREUR"),"ERREUR"))</f>
        <v/>
      </c>
      <c r="O127" s="38" t="str">
        <f>IF(COUNTIF($W$4:$W$5,F127)&gt;0,F127,IF(ISBLANK(F127),IF(ISBLANK(F128),T(F127),"ERREUR"),"ERREUR"))</f>
        <v/>
      </c>
      <c r="P127" s="38" t="str">
        <f>IF(COUNTIF($X$4:$X$8,G127)&gt;0,G127,IF(ISBLANK(G127),IF(ISBLANK(G128),T(G127),"ERREUR"),"ERREUR"))</f>
        <v/>
      </c>
      <c r="Q127" s="38" t="str">
        <f>IF(ISNUMBER(H127),IF(INT(H127)=H127,H127,"ERREUR"),IF(ISBLANK(H127),IF(ISBLANK(H128),T(H127),"ERREUR"),"ERREUR"))</f>
        <v/>
      </c>
      <c r="R127" s="38"/>
      <c r="S127" s="1" t="s">
        <v>295</v>
      </c>
      <c r="T127" s="39" t="s">
        <v>296</v>
      </c>
      <c r="U127" s="38" t="str">
        <f>SUBSTITUTE(SUBSTITUTE(SUBSTITUTE(SUBSTITUTE(SUBSTITUTE(SUBSTITUTE(SUBSTITUTE(SUBSTITUTE(UPPER(S127),"Å","A"),"É","E"),"È","E"),"Ê","E"),"Ë","E"),"Î","I"),"Ï","I"),"Ô","O")</f>
        <v>LESOTHO</v>
      </c>
      <c r="V127" s="38"/>
      <c r="W127" s="38"/>
      <c r="X127" s="53"/>
      <c r="Y127" s="42"/>
      <c r="Z127" s="42"/>
      <c r="AA127" s="42"/>
    </row>
    <row r="128" ht="13.75" customHeight="1">
      <c r="A128" s="14" t="s">
        <v>140</v>
      </c>
      <c r="B128" s="50"/>
      <c r="C128" s="43"/>
      <c r="D128" s="43"/>
      <c r="E128" s="44"/>
      <c r="F128" s="44"/>
      <c r="G128" s="44"/>
      <c r="H128" s="45"/>
      <c r="I128" s="54"/>
      <c r="J128" s="47" t="str">
        <f>IF(OR(K128="ERREUR",L128="ERREUR",M128="ERREUR",N128="ERREUR",O128="ERREUR",P128="ERREUR",Q128="ERREUR"),"ERREUR",IF(AND(K128="",L128="",M128="",N128="",O128="",P128="",Q128=""),"ligne vide",IF(OR(K128="",L128="",M128="",N128="",O128="",P128="",Q128=""),"ligne incomplète","Valide")))</f>
        <v xml:space="preserve">ligne vide</v>
      </c>
      <c r="K128" s="48" t="str">
        <f>IF(ISBLANK(B128),IF(ISBLANK(B129),T(B128),"ERREUR"),IF(ISNUMBER(B128),_xlfn.NUMBERVALUE(B128),IF(ISTEXT(B128),VALUE(B128),"ERREUR")))</f>
        <v/>
      </c>
      <c r="L128" s="38" t="str">
        <f>IF(COUNTIF($R$4:$R$6,C128)&gt;0,C128,IF(ISBLANK(C128),IF(ISBLANK(D128),T(C128),"ERREUR"),"ERREUR"))</f>
        <v/>
      </c>
      <c r="M128" s="49" t="str">
        <f>IF(ISBLANK(D128),IF(ISBLANK(D129),T(D128),"ERREUR"),IF(COUNTIF($T$4:$T$240,SUBSTITUTE(SUBSTITUTE(SUBSTITUTE(SUBSTITUTE(SUBSTITUTE(SUBSTITUTE(UPPER(D128),"Å","A"),"É","E"),"È","E"),"Ê","E"),"Î","I"),"Ï","I"))&gt;0,D128,IF(ISBLANK(D128),T(D128),"ERREUR")))</f>
        <v/>
      </c>
      <c r="N128" s="38" t="str">
        <f>IF(COUNTIF($V$4:$V$6,E128)&gt;0,E128,IF(ISBLANK(E128),IF(ISBLANK(E129),T(E128),"ERREUR"),"ERREUR"))</f>
        <v/>
      </c>
      <c r="O128" s="38" t="str">
        <f>IF(COUNTIF($W$4:$W$5,F128)&gt;0,F128,IF(ISBLANK(F128),IF(ISBLANK(F129),T(F128),"ERREUR"),"ERREUR"))</f>
        <v/>
      </c>
      <c r="P128" s="38" t="str">
        <f>IF(COUNTIF($X$4:$X$8,G128)&gt;0,G128,IF(ISBLANK(G128),IF(ISBLANK(G129),T(G128),"ERREUR"),"ERREUR"))</f>
        <v/>
      </c>
      <c r="Q128" s="38" t="str">
        <f>IF(ISNUMBER(H128),IF(INT(H128)=H128,H128,"ERREUR"),IF(ISBLANK(H128),IF(ISBLANK(H129),T(H128),"ERREUR"),"ERREUR"))</f>
        <v/>
      </c>
      <c r="R128" s="38"/>
      <c r="S128" s="1" t="s">
        <v>297</v>
      </c>
      <c r="T128" s="39" t="s">
        <v>298</v>
      </c>
      <c r="U128" s="38" t="str">
        <f>SUBSTITUTE(SUBSTITUTE(SUBSTITUTE(SUBSTITUTE(SUBSTITUTE(SUBSTITUTE(SUBSTITUTE(SUBSTITUTE(UPPER(S128),"Å","A"),"É","E"),"È","E"),"Ê","E"),"Ë","E"),"Î","I"),"Ï","I"),"Ô","O")</f>
        <v>LETTONIE</v>
      </c>
      <c r="V128" s="38"/>
      <c r="W128" s="38"/>
      <c r="X128" s="53"/>
      <c r="Y128" s="42"/>
      <c r="Z128" s="42"/>
      <c r="AA128" s="42"/>
    </row>
    <row r="129" ht="13.75" customHeight="1">
      <c r="A129" s="14" t="s">
        <v>140</v>
      </c>
      <c r="B129" s="50"/>
      <c r="C129" s="43"/>
      <c r="D129" s="43"/>
      <c r="E129" s="44"/>
      <c r="F129" s="44"/>
      <c r="G129" s="44"/>
      <c r="H129" s="45"/>
      <c r="I129" s="54"/>
      <c r="J129" s="47" t="str">
        <f>IF(OR(K129="ERREUR",L129="ERREUR",M129="ERREUR",N129="ERREUR",O129="ERREUR",P129="ERREUR",Q129="ERREUR"),"ERREUR",IF(AND(K129="",L129="",M129="",N129="",O129="",P129="",Q129=""),"ligne vide",IF(OR(K129="",L129="",M129="",N129="",O129="",P129="",Q129=""),"ligne incomplète","Valide")))</f>
        <v xml:space="preserve">ligne vide</v>
      </c>
      <c r="K129" s="48" t="str">
        <f>IF(ISBLANK(B129),IF(ISBLANK(B130),T(B129),"ERREUR"),IF(ISNUMBER(B129),_xlfn.NUMBERVALUE(B129),IF(ISTEXT(B129),VALUE(B129),"ERREUR")))</f>
        <v/>
      </c>
      <c r="L129" s="38" t="str">
        <f>IF(COUNTIF($R$4:$R$6,C129)&gt;0,C129,IF(ISBLANK(C129),IF(ISBLANK(D129),T(C129),"ERREUR"),"ERREUR"))</f>
        <v/>
      </c>
      <c r="M129" s="49" t="str">
        <f>IF(ISBLANK(D129),IF(ISBLANK(D130),T(D129),"ERREUR"),IF(COUNTIF($T$4:$T$240,SUBSTITUTE(SUBSTITUTE(SUBSTITUTE(SUBSTITUTE(SUBSTITUTE(SUBSTITUTE(UPPER(D129),"Å","A"),"É","E"),"È","E"),"Ê","E"),"Î","I"),"Ï","I"))&gt;0,D129,IF(ISBLANK(D129),T(D129),"ERREUR")))</f>
        <v/>
      </c>
      <c r="N129" s="38" t="str">
        <f>IF(COUNTIF($V$4:$V$6,E129)&gt;0,E129,IF(ISBLANK(E129),IF(ISBLANK(E130),T(E129),"ERREUR"),"ERREUR"))</f>
        <v/>
      </c>
      <c r="O129" s="38" t="str">
        <f>IF(COUNTIF($W$4:$W$5,F129)&gt;0,F129,IF(ISBLANK(F129),IF(ISBLANK(F130),T(F129),"ERREUR"),"ERREUR"))</f>
        <v/>
      </c>
      <c r="P129" s="38" t="str">
        <f>IF(COUNTIF($X$4:$X$8,G129)&gt;0,G129,IF(ISBLANK(G129),IF(ISBLANK(G130),T(G129),"ERREUR"),"ERREUR"))</f>
        <v/>
      </c>
      <c r="Q129" s="38" t="str">
        <f>IF(ISNUMBER(H129),IF(INT(H129)=H129,H129,"ERREUR"),IF(ISBLANK(H129),IF(ISBLANK(H130),T(H129),"ERREUR"),"ERREUR"))</f>
        <v/>
      </c>
      <c r="R129" s="38"/>
      <c r="S129" s="1" t="s">
        <v>299</v>
      </c>
      <c r="T129" s="39" t="s">
        <v>300</v>
      </c>
      <c r="U129" s="38" t="str">
        <f>SUBSTITUTE(SUBSTITUTE(SUBSTITUTE(SUBSTITUTE(SUBSTITUTE(SUBSTITUTE(SUBSTITUTE(SUBSTITUTE(UPPER(S129),"Å","A"),"É","E"),"È","E"),"Ê","E"),"Ë","E"),"Î","I"),"Ï","I"),"Ô","O")</f>
        <v>LIBAN</v>
      </c>
      <c r="V129" s="38"/>
      <c r="W129" s="38"/>
      <c r="X129" s="53"/>
      <c r="Y129" s="42"/>
      <c r="Z129" s="42"/>
      <c r="AA129" s="42"/>
    </row>
    <row r="130" ht="13.75" customHeight="1">
      <c r="A130" s="14" t="s">
        <v>140</v>
      </c>
      <c r="B130" s="50"/>
      <c r="C130" s="43"/>
      <c r="D130" s="43"/>
      <c r="E130" s="44"/>
      <c r="F130" s="44"/>
      <c r="G130" s="44"/>
      <c r="H130" s="45"/>
      <c r="I130" s="54"/>
      <c r="J130" s="47" t="str">
        <f>IF(OR(K130="ERREUR",L130="ERREUR",M130="ERREUR",N130="ERREUR",O130="ERREUR",P130="ERREUR",Q130="ERREUR"),"ERREUR",IF(AND(K130="",L130="",M130="",N130="",O130="",P130="",Q130=""),"ligne vide",IF(OR(K130="",L130="",M130="",N130="",O130="",P130="",Q130=""),"ligne incomplète","Valide")))</f>
        <v xml:space="preserve">ligne vide</v>
      </c>
      <c r="K130" s="48" t="str">
        <f>IF(ISBLANK(B130),IF(ISBLANK(B131),T(B130),"ERREUR"),IF(ISNUMBER(B130),_xlfn.NUMBERVALUE(B130),IF(ISTEXT(B130),VALUE(B130),"ERREUR")))</f>
        <v/>
      </c>
      <c r="L130" s="38" t="str">
        <f>IF(COUNTIF($R$4:$R$6,C130)&gt;0,C130,IF(ISBLANK(C130),IF(ISBLANK(D130),T(C130),"ERREUR"),"ERREUR"))</f>
        <v/>
      </c>
      <c r="M130" s="49" t="str">
        <f>IF(ISBLANK(D130),IF(ISBLANK(D131),T(D130),"ERREUR"),IF(COUNTIF($T$4:$T$240,SUBSTITUTE(SUBSTITUTE(SUBSTITUTE(SUBSTITUTE(SUBSTITUTE(SUBSTITUTE(UPPER(D130),"Å","A"),"É","E"),"È","E"),"Ê","E"),"Î","I"),"Ï","I"))&gt;0,D130,IF(ISBLANK(D130),T(D130),"ERREUR")))</f>
        <v/>
      </c>
      <c r="N130" s="38" t="str">
        <f>IF(COUNTIF($V$4:$V$6,E130)&gt;0,E130,IF(ISBLANK(E130),IF(ISBLANK(E131),T(E130),"ERREUR"),"ERREUR"))</f>
        <v/>
      </c>
      <c r="O130" s="38" t="str">
        <f>IF(COUNTIF($W$4:$W$5,F130)&gt;0,F130,IF(ISBLANK(F130),IF(ISBLANK(F131),T(F130),"ERREUR"),"ERREUR"))</f>
        <v/>
      </c>
      <c r="P130" s="38" t="str">
        <f>IF(COUNTIF($X$4:$X$8,G130)&gt;0,G130,IF(ISBLANK(G130),IF(ISBLANK(G131),T(G130),"ERREUR"),"ERREUR"))</f>
        <v/>
      </c>
      <c r="Q130" s="38" t="str">
        <f>IF(ISNUMBER(H130),IF(INT(H130)=H130,H130,"ERREUR"),IF(ISBLANK(H130),IF(ISBLANK(H131),T(H130),"ERREUR"),"ERREUR"))</f>
        <v/>
      </c>
      <c r="R130" s="38"/>
      <c r="S130" s="1" t="s">
        <v>301</v>
      </c>
      <c r="T130" s="39" t="s">
        <v>302</v>
      </c>
      <c r="U130" s="38" t="str">
        <f>SUBSTITUTE(SUBSTITUTE(SUBSTITUTE(SUBSTITUTE(SUBSTITUTE(SUBSTITUTE(SUBSTITUTE(SUBSTITUTE(UPPER(S130),"Å","A"),"É","E"),"È","E"),"Ê","E"),"Ë","E"),"Î","I"),"Ï","I"),"Ô","O")</f>
        <v>LIBERIA</v>
      </c>
      <c r="V130" s="38"/>
      <c r="W130" s="38"/>
      <c r="X130" s="53"/>
      <c r="Y130" s="42"/>
      <c r="Z130" s="42"/>
      <c r="AA130" s="42"/>
    </row>
    <row r="131" ht="13.75" customHeight="1">
      <c r="A131" s="14" t="s">
        <v>140</v>
      </c>
      <c r="B131" s="50"/>
      <c r="C131" s="43"/>
      <c r="D131" s="43"/>
      <c r="E131" s="44"/>
      <c r="F131" s="44"/>
      <c r="G131" s="44"/>
      <c r="H131" s="45"/>
      <c r="I131" s="54"/>
      <c r="J131" s="47" t="str">
        <f>IF(OR(K131="ERREUR",L131="ERREUR",M131="ERREUR",N131="ERREUR",O131="ERREUR",P131="ERREUR",Q131="ERREUR"),"ERREUR",IF(AND(K131="",L131="",M131="",N131="",O131="",P131="",Q131=""),"ligne vide",IF(OR(K131="",L131="",M131="",N131="",O131="",P131="",Q131=""),"ligne incomplète","Valide")))</f>
        <v xml:space="preserve">ligne vide</v>
      </c>
      <c r="K131" s="48" t="str">
        <f>IF(ISBLANK(B131),IF(ISBLANK(B132),T(B131),"ERREUR"),IF(ISNUMBER(B131),_xlfn.NUMBERVALUE(B131),IF(ISTEXT(B131),VALUE(B131),"ERREUR")))</f>
        <v/>
      </c>
      <c r="L131" s="38" t="str">
        <f>IF(COUNTIF($R$4:$R$6,C131)&gt;0,C131,IF(ISBLANK(C131),IF(ISBLANK(D131),T(C131),"ERREUR"),"ERREUR"))</f>
        <v/>
      </c>
      <c r="M131" s="49" t="str">
        <f>IF(ISBLANK(D131),IF(ISBLANK(D132),T(D131),"ERREUR"),IF(COUNTIF($T$4:$T$240,SUBSTITUTE(SUBSTITUTE(SUBSTITUTE(SUBSTITUTE(SUBSTITUTE(SUBSTITUTE(UPPER(D131),"Å","A"),"É","E"),"È","E"),"Ê","E"),"Î","I"),"Ï","I"))&gt;0,D131,IF(ISBLANK(D131),T(D131),"ERREUR")))</f>
        <v/>
      </c>
      <c r="N131" s="38" t="str">
        <f>IF(COUNTIF($V$4:$V$6,E131)&gt;0,E131,IF(ISBLANK(E131),IF(ISBLANK(E132),T(E131),"ERREUR"),"ERREUR"))</f>
        <v/>
      </c>
      <c r="O131" s="38" t="str">
        <f>IF(COUNTIF($W$4:$W$5,F131)&gt;0,F131,IF(ISBLANK(F131),IF(ISBLANK(F132),T(F131),"ERREUR"),"ERREUR"))</f>
        <v/>
      </c>
      <c r="P131" s="38" t="str">
        <f>IF(COUNTIF($X$4:$X$8,G131)&gt;0,G131,IF(ISBLANK(G131),IF(ISBLANK(G132),T(G131),"ERREUR"),"ERREUR"))</f>
        <v/>
      </c>
      <c r="Q131" s="38" t="str">
        <f>IF(ISNUMBER(H131),IF(INT(H131)=H131,H131,"ERREUR"),IF(ISBLANK(H131),IF(ISBLANK(H132),T(H131),"ERREUR"),"ERREUR"))</f>
        <v/>
      </c>
      <c r="R131" s="38"/>
      <c r="S131" s="1" t="s">
        <v>303</v>
      </c>
      <c r="T131" s="39" t="s">
        <v>304</v>
      </c>
      <c r="U131" s="38" t="str">
        <f>SUBSTITUTE(SUBSTITUTE(SUBSTITUTE(SUBSTITUTE(SUBSTITUTE(SUBSTITUTE(SUBSTITUTE(SUBSTITUTE(UPPER(S131),"Å","A"),"É","E"),"È","E"),"Ê","E"),"Ë","E"),"Î","I"),"Ï","I"),"Ô","O")</f>
        <v>LIBYE</v>
      </c>
      <c r="V131" s="38"/>
      <c r="W131" s="38"/>
      <c r="X131" s="53"/>
      <c r="Y131" s="42"/>
      <c r="Z131" s="42"/>
      <c r="AA131" s="42"/>
    </row>
    <row r="132" ht="13.75" customHeight="1">
      <c r="A132" s="14" t="s">
        <v>140</v>
      </c>
      <c r="B132" s="50"/>
      <c r="C132" s="43"/>
      <c r="D132" s="43"/>
      <c r="E132" s="44"/>
      <c r="F132" s="44"/>
      <c r="G132" s="44"/>
      <c r="H132" s="45"/>
      <c r="I132" s="54"/>
      <c r="J132" s="47" t="str">
        <f>IF(OR(K132="ERREUR",L132="ERREUR",M132="ERREUR",N132="ERREUR",O132="ERREUR",P132="ERREUR",Q132="ERREUR"),"ERREUR",IF(AND(K132="",L132="",M132="",N132="",O132="",P132="",Q132=""),"ligne vide",IF(OR(K132="",L132="",M132="",N132="",O132="",P132="",Q132=""),"ligne incomplète","Valide")))</f>
        <v xml:space="preserve">ligne vide</v>
      </c>
      <c r="K132" s="48" t="str">
        <f>IF(ISBLANK(B132),IF(ISBLANK(B133),T(B132),"ERREUR"),IF(ISNUMBER(B132),_xlfn.NUMBERVALUE(B132),IF(ISTEXT(B132),VALUE(B132),"ERREUR")))</f>
        <v/>
      </c>
      <c r="L132" s="38" t="str">
        <f>IF(COUNTIF($R$4:$R$6,C132)&gt;0,C132,IF(ISBLANK(C132),IF(ISBLANK(D132),T(C132),"ERREUR"),"ERREUR"))</f>
        <v/>
      </c>
      <c r="M132" s="49" t="str">
        <f>IF(ISBLANK(D132),IF(ISBLANK(D133),T(D132),"ERREUR"),IF(COUNTIF($T$4:$T$240,SUBSTITUTE(SUBSTITUTE(SUBSTITUTE(SUBSTITUTE(SUBSTITUTE(SUBSTITUTE(UPPER(D132),"Å","A"),"É","E"),"È","E"),"Ê","E"),"Î","I"),"Ï","I"))&gt;0,D132,IF(ISBLANK(D132),T(D132),"ERREUR")))</f>
        <v/>
      </c>
      <c r="N132" s="38" t="str">
        <f>IF(COUNTIF($V$4:$V$6,E132)&gt;0,E132,IF(ISBLANK(E132),IF(ISBLANK(E133),T(E132),"ERREUR"),"ERREUR"))</f>
        <v/>
      </c>
      <c r="O132" s="38" t="str">
        <f>IF(COUNTIF($W$4:$W$5,F132)&gt;0,F132,IF(ISBLANK(F132),IF(ISBLANK(F133),T(F132),"ERREUR"),"ERREUR"))</f>
        <v/>
      </c>
      <c r="P132" s="38" t="str">
        <f>IF(COUNTIF($X$4:$X$8,G132)&gt;0,G132,IF(ISBLANK(G132),IF(ISBLANK(G133),T(G132),"ERREUR"),"ERREUR"))</f>
        <v/>
      </c>
      <c r="Q132" s="38" t="str">
        <f>IF(ISNUMBER(H132),IF(INT(H132)=H132,H132,"ERREUR"),IF(ISBLANK(H132),IF(ISBLANK(H133),T(H132),"ERREUR"),"ERREUR"))</f>
        <v/>
      </c>
      <c r="R132" s="38"/>
      <c r="S132" s="1" t="s">
        <v>305</v>
      </c>
      <c r="T132" s="39" t="s">
        <v>306</v>
      </c>
      <c r="U132" s="38" t="str">
        <f>SUBSTITUTE(SUBSTITUTE(SUBSTITUTE(SUBSTITUTE(SUBSTITUTE(SUBSTITUTE(SUBSTITUTE(SUBSTITUTE(UPPER(S132),"Å","A"),"É","E"),"È","E"),"Ê","E"),"Ë","E"),"Î","I"),"Ï","I"),"Ô","O")</f>
        <v>LIECHTENSTEIN</v>
      </c>
      <c r="V132" s="38"/>
      <c r="W132" s="38"/>
      <c r="X132" s="53"/>
      <c r="Y132" s="42"/>
      <c r="Z132" s="42"/>
      <c r="AA132" s="42"/>
    </row>
    <row r="133" ht="13.75" customHeight="1">
      <c r="A133" s="14" t="s">
        <v>140</v>
      </c>
      <c r="B133" s="50"/>
      <c r="C133" s="43"/>
      <c r="D133" s="43"/>
      <c r="E133" s="44"/>
      <c r="F133" s="44"/>
      <c r="G133" s="44"/>
      <c r="H133" s="45"/>
      <c r="I133" s="54"/>
      <c r="J133" s="47" t="str">
        <f>IF(OR(K133="ERREUR",L133="ERREUR",M133="ERREUR",N133="ERREUR",O133="ERREUR",P133="ERREUR",Q133="ERREUR"),"ERREUR",IF(AND(K133="",L133="",M133="",N133="",O133="",P133="",Q133=""),"ligne vide",IF(OR(K133="",L133="",M133="",N133="",O133="",P133="",Q133=""),"ligne incomplète","Valide")))</f>
        <v xml:space="preserve">ligne vide</v>
      </c>
      <c r="K133" s="48" t="str">
        <f>IF(ISBLANK(B133),IF(ISBLANK(B134),T(B133),"ERREUR"),IF(ISNUMBER(B133),_xlfn.NUMBERVALUE(B133),IF(ISTEXT(B133),VALUE(B133),"ERREUR")))</f>
        <v/>
      </c>
      <c r="L133" s="38" t="str">
        <f>IF(COUNTIF($R$4:$R$6,C133)&gt;0,C133,IF(ISBLANK(C133),IF(ISBLANK(D133),T(C133),"ERREUR"),"ERREUR"))</f>
        <v/>
      </c>
      <c r="M133" s="49" t="str">
        <f>IF(ISBLANK(D133),IF(ISBLANK(D134),T(D133),"ERREUR"),IF(COUNTIF($T$4:$T$240,SUBSTITUTE(SUBSTITUTE(SUBSTITUTE(SUBSTITUTE(SUBSTITUTE(SUBSTITUTE(UPPER(D133),"Å","A"),"É","E"),"È","E"),"Ê","E"),"Î","I"),"Ï","I"))&gt;0,D133,IF(ISBLANK(D133),T(D133),"ERREUR")))</f>
        <v/>
      </c>
      <c r="N133" s="38" t="str">
        <f>IF(COUNTIF($V$4:$V$6,E133)&gt;0,E133,IF(ISBLANK(E133),IF(ISBLANK(E134),T(E133),"ERREUR"),"ERREUR"))</f>
        <v/>
      </c>
      <c r="O133" s="38" t="str">
        <f>IF(COUNTIF($W$4:$W$5,F133)&gt;0,F133,IF(ISBLANK(F133),IF(ISBLANK(F134),T(F133),"ERREUR"),"ERREUR"))</f>
        <v/>
      </c>
      <c r="P133" s="38" t="str">
        <f>IF(COUNTIF($X$4:$X$8,G133)&gt;0,G133,IF(ISBLANK(G133),IF(ISBLANK(G134),T(G133),"ERREUR"),"ERREUR"))</f>
        <v/>
      </c>
      <c r="Q133" s="38" t="str">
        <f>IF(ISNUMBER(H133),IF(INT(H133)=H133,H133,"ERREUR"),IF(ISBLANK(H133),IF(ISBLANK(H134),T(H133),"ERREUR"),"ERREUR"))</f>
        <v/>
      </c>
      <c r="R133" s="38"/>
      <c r="S133" s="1" t="s">
        <v>307</v>
      </c>
      <c r="T133" s="39" t="s">
        <v>308</v>
      </c>
      <c r="U133" s="38" t="str">
        <f>SUBSTITUTE(SUBSTITUTE(SUBSTITUTE(SUBSTITUTE(SUBSTITUTE(SUBSTITUTE(SUBSTITUTE(SUBSTITUTE(UPPER(S133),"Å","A"),"É","E"),"È","E"),"Ê","E"),"Ë","E"),"Î","I"),"Ï","I"),"Ô","O")</f>
        <v>LITUANIE</v>
      </c>
      <c r="V133" s="38"/>
      <c r="W133" s="38"/>
      <c r="X133" s="53"/>
      <c r="Y133" s="42"/>
      <c r="Z133" s="42"/>
      <c r="AA133" s="42"/>
    </row>
    <row r="134" ht="13.75" customHeight="1">
      <c r="A134" s="14" t="s">
        <v>140</v>
      </c>
      <c r="B134" s="50"/>
      <c r="C134" s="43"/>
      <c r="D134" s="43"/>
      <c r="E134" s="44"/>
      <c r="F134" s="44"/>
      <c r="G134" s="44"/>
      <c r="H134" s="45"/>
      <c r="I134" s="54"/>
      <c r="J134" s="47" t="str">
        <f>IF(OR(K134="ERREUR",L134="ERREUR",M134="ERREUR",N134="ERREUR",O134="ERREUR",P134="ERREUR",Q134="ERREUR"),"ERREUR",IF(AND(K134="",L134="",M134="",N134="",O134="",P134="",Q134=""),"ligne vide",IF(OR(K134="",L134="",M134="",N134="",O134="",P134="",Q134=""),"ligne incomplète","Valide")))</f>
        <v xml:space="preserve">ligne vide</v>
      </c>
      <c r="K134" s="48" t="str">
        <f>IF(ISBLANK(B134),IF(ISBLANK(B135),T(B134),"ERREUR"),IF(ISNUMBER(B134),_xlfn.NUMBERVALUE(B134),IF(ISTEXT(B134),VALUE(B134),"ERREUR")))</f>
        <v/>
      </c>
      <c r="L134" s="38" t="str">
        <f>IF(COUNTIF($R$4:$R$6,C134)&gt;0,C134,IF(ISBLANK(C134),IF(ISBLANK(D134),T(C134),"ERREUR"),"ERREUR"))</f>
        <v/>
      </c>
      <c r="M134" s="49" t="str">
        <f>IF(ISBLANK(D134),IF(ISBLANK(D135),T(D134),"ERREUR"),IF(COUNTIF($T$4:$T$240,SUBSTITUTE(SUBSTITUTE(SUBSTITUTE(SUBSTITUTE(SUBSTITUTE(SUBSTITUTE(UPPER(D134),"Å","A"),"É","E"),"È","E"),"Ê","E"),"Î","I"),"Ï","I"))&gt;0,D134,IF(ISBLANK(D134),T(D134),"ERREUR")))</f>
        <v/>
      </c>
      <c r="N134" s="38" t="str">
        <f>IF(COUNTIF($V$4:$V$6,E134)&gt;0,E134,IF(ISBLANK(E134),IF(ISBLANK(E135),T(E134),"ERREUR"),"ERREUR"))</f>
        <v/>
      </c>
      <c r="O134" s="38" t="str">
        <f>IF(COUNTIF($W$4:$W$5,F134)&gt;0,F134,IF(ISBLANK(F134),IF(ISBLANK(F135),T(F134),"ERREUR"),"ERREUR"))</f>
        <v/>
      </c>
      <c r="P134" s="38" t="str">
        <f>IF(COUNTIF($X$4:$X$8,G134)&gt;0,G134,IF(ISBLANK(G134),IF(ISBLANK(G135),T(G134),"ERREUR"),"ERREUR"))</f>
        <v/>
      </c>
      <c r="Q134" s="38" t="str">
        <f>IF(ISNUMBER(H134),IF(INT(H134)=H134,H134,"ERREUR"),IF(ISBLANK(H134),IF(ISBLANK(H135),T(H134),"ERREUR"),"ERREUR"))</f>
        <v/>
      </c>
      <c r="R134" s="38"/>
      <c r="S134" s="1" t="s">
        <v>309</v>
      </c>
      <c r="T134" s="39" t="s">
        <v>310</v>
      </c>
      <c r="U134" s="38" t="str">
        <f>SUBSTITUTE(SUBSTITUTE(SUBSTITUTE(SUBSTITUTE(SUBSTITUTE(SUBSTITUTE(SUBSTITUTE(SUBSTITUTE(UPPER(S134),"Å","A"),"É","E"),"È","E"),"Ê","E"),"Ë","E"),"Î","I"),"Ï","I"),"Ô","O")</f>
        <v>LUXEMBOURG</v>
      </c>
      <c r="V134" s="38"/>
      <c r="W134" s="38"/>
      <c r="X134" s="53"/>
      <c r="Y134" s="42"/>
      <c r="Z134" s="42"/>
      <c r="AA134" s="42"/>
    </row>
    <row r="135" ht="13.75" customHeight="1">
      <c r="A135" s="14" t="s">
        <v>140</v>
      </c>
      <c r="B135" s="50"/>
      <c r="C135" s="43"/>
      <c r="D135" s="43"/>
      <c r="E135" s="44"/>
      <c r="F135" s="44"/>
      <c r="G135" s="44"/>
      <c r="H135" s="45"/>
      <c r="I135" s="54"/>
      <c r="J135" s="47" t="str">
        <f>IF(OR(K135="ERREUR",L135="ERREUR",M135="ERREUR",N135="ERREUR",O135="ERREUR",P135="ERREUR",Q135="ERREUR"),"ERREUR",IF(AND(K135="",L135="",M135="",N135="",O135="",P135="",Q135=""),"ligne vide",IF(OR(K135="",L135="",M135="",N135="",O135="",P135="",Q135=""),"ligne incomplète","Valide")))</f>
        <v xml:space="preserve">ligne vide</v>
      </c>
      <c r="K135" s="48" t="str">
        <f>IF(ISBLANK(B135),IF(ISBLANK(B136),T(B135),"ERREUR"),IF(ISNUMBER(B135),_xlfn.NUMBERVALUE(B135),IF(ISTEXT(B135),VALUE(B135),"ERREUR")))</f>
        <v/>
      </c>
      <c r="L135" s="38" t="str">
        <f>IF(COUNTIF($R$4:$R$6,C135)&gt;0,C135,IF(ISBLANK(C135),IF(ISBLANK(D135),T(C135),"ERREUR"),"ERREUR"))</f>
        <v/>
      </c>
      <c r="M135" s="49" t="str">
        <f>IF(ISBLANK(D135),IF(ISBLANK(D136),T(D135),"ERREUR"),IF(COUNTIF($T$4:$T$240,SUBSTITUTE(SUBSTITUTE(SUBSTITUTE(SUBSTITUTE(SUBSTITUTE(SUBSTITUTE(UPPER(D135),"Å","A"),"É","E"),"È","E"),"Ê","E"),"Î","I"),"Ï","I"))&gt;0,D135,IF(ISBLANK(D135),T(D135),"ERREUR")))</f>
        <v/>
      </c>
      <c r="N135" s="38" t="str">
        <f>IF(COUNTIF($V$4:$V$6,E135)&gt;0,E135,IF(ISBLANK(E135),IF(ISBLANK(E136),T(E135),"ERREUR"),"ERREUR"))</f>
        <v/>
      </c>
      <c r="O135" s="38" t="str">
        <f>IF(COUNTIF($W$4:$W$5,F135)&gt;0,F135,IF(ISBLANK(F135),IF(ISBLANK(F136),T(F135),"ERREUR"),"ERREUR"))</f>
        <v/>
      </c>
      <c r="P135" s="38" t="str">
        <f>IF(COUNTIF($X$4:$X$8,G135)&gt;0,G135,IF(ISBLANK(G135),IF(ISBLANK(G136),T(G135),"ERREUR"),"ERREUR"))</f>
        <v/>
      </c>
      <c r="Q135" s="38" t="str">
        <f>IF(ISNUMBER(H135),IF(INT(H135)=H135,H135,"ERREUR"),IF(ISBLANK(H135),IF(ISBLANK(H136),T(H135),"ERREUR"),"ERREUR"))</f>
        <v/>
      </c>
      <c r="R135" s="38"/>
      <c r="S135" s="1" t="s">
        <v>311</v>
      </c>
      <c r="T135" s="39" t="s">
        <v>312</v>
      </c>
      <c r="U135" s="38" t="str">
        <f>SUBSTITUTE(SUBSTITUTE(SUBSTITUTE(SUBSTITUTE(SUBSTITUTE(SUBSTITUTE(SUBSTITUTE(SUBSTITUTE(UPPER(S135),"Å","A"),"É","E"),"È","E"),"Ê","E"),"Ë","E"),"Î","I"),"Ï","I"),"Ô","O")</f>
        <v>MACAU</v>
      </c>
      <c r="V135" s="38"/>
      <c r="W135" s="38"/>
      <c r="X135" s="53"/>
      <c r="Y135" s="42"/>
      <c r="Z135" s="42"/>
      <c r="AA135" s="42"/>
    </row>
    <row r="136" ht="13.75" customHeight="1">
      <c r="A136" s="14" t="s">
        <v>140</v>
      </c>
      <c r="B136" s="50"/>
      <c r="C136" s="43"/>
      <c r="D136" s="43"/>
      <c r="E136" s="44"/>
      <c r="F136" s="44"/>
      <c r="G136" s="44"/>
      <c r="H136" s="45"/>
      <c r="I136" s="54"/>
      <c r="J136" s="47" t="str">
        <f>IF(OR(K136="ERREUR",L136="ERREUR",M136="ERREUR",N136="ERREUR",O136="ERREUR",P136="ERREUR",Q136="ERREUR"),"ERREUR",IF(AND(K136="",L136="",M136="",N136="",O136="",P136="",Q136=""),"ligne vide",IF(OR(K136="",L136="",M136="",N136="",O136="",P136="",Q136=""),"ligne incomplète","Valide")))</f>
        <v xml:space="preserve">ligne vide</v>
      </c>
      <c r="K136" s="48" t="str">
        <f>IF(ISBLANK(B136),IF(ISBLANK(B137),T(B136),"ERREUR"),IF(ISNUMBER(B136),_xlfn.NUMBERVALUE(B136),IF(ISTEXT(B136),VALUE(B136),"ERREUR")))</f>
        <v/>
      </c>
      <c r="L136" s="38" t="str">
        <f>IF(COUNTIF($R$4:$R$6,C136)&gt;0,C136,IF(ISBLANK(C136),IF(ISBLANK(D136),T(C136),"ERREUR"),"ERREUR"))</f>
        <v/>
      </c>
      <c r="M136" s="49" t="str">
        <f>IF(ISBLANK(D136),IF(ISBLANK(D137),T(D136),"ERREUR"),IF(COUNTIF($T$4:$T$240,SUBSTITUTE(SUBSTITUTE(SUBSTITUTE(SUBSTITUTE(SUBSTITUTE(SUBSTITUTE(UPPER(D136),"Å","A"),"É","E"),"È","E"),"Ê","E"),"Î","I"),"Ï","I"))&gt;0,D136,IF(ISBLANK(D136),T(D136),"ERREUR")))</f>
        <v/>
      </c>
      <c r="N136" s="38" t="str">
        <f>IF(COUNTIF($V$4:$V$6,E136)&gt;0,E136,IF(ISBLANK(E136),IF(ISBLANK(E137),T(E136),"ERREUR"),"ERREUR"))</f>
        <v/>
      </c>
      <c r="O136" s="38" t="str">
        <f>IF(COUNTIF($W$4:$W$5,F136)&gt;0,F136,IF(ISBLANK(F136),IF(ISBLANK(F137),T(F136),"ERREUR"),"ERREUR"))</f>
        <v/>
      </c>
      <c r="P136" s="38" t="str">
        <f>IF(COUNTIF($X$4:$X$8,G136)&gt;0,G136,IF(ISBLANK(G136),IF(ISBLANK(G137),T(G136),"ERREUR"),"ERREUR"))</f>
        <v/>
      </c>
      <c r="Q136" s="38" t="str">
        <f>IF(ISNUMBER(H136),IF(INT(H136)=H136,H136,"ERREUR"),IF(ISBLANK(H136),IF(ISBLANK(H137),T(H136),"ERREUR"),"ERREUR"))</f>
        <v/>
      </c>
      <c r="R136" s="38"/>
      <c r="S136" s="1" t="s">
        <v>313</v>
      </c>
      <c r="T136" s="39" t="s">
        <v>314</v>
      </c>
      <c r="U136" s="38" t="str">
        <f>SUBSTITUTE(SUBSTITUTE(SUBSTITUTE(SUBSTITUTE(SUBSTITUTE(SUBSTITUTE(SUBSTITUTE(SUBSTITUTE(UPPER(S136),"Å","A"),"É","E"),"È","E"),"Ê","E"),"Ë","E"),"Î","I"),"Ï","I"),"Ô","O")</f>
        <v xml:space="preserve">MACEDOINE DU NORD</v>
      </c>
      <c r="V136" s="38"/>
      <c r="W136" s="38"/>
      <c r="X136" s="53"/>
      <c r="Y136" s="42"/>
      <c r="Z136" s="42"/>
      <c r="AA136" s="42"/>
    </row>
    <row r="137" ht="13.75" customHeight="1">
      <c r="A137" s="14" t="s">
        <v>140</v>
      </c>
      <c r="B137" s="50"/>
      <c r="C137" s="43"/>
      <c r="D137" s="43"/>
      <c r="E137" s="44"/>
      <c r="F137" s="44"/>
      <c r="G137" s="44"/>
      <c r="H137" s="45"/>
      <c r="I137" s="54"/>
      <c r="J137" s="47" t="str">
        <f>IF(OR(K137="ERREUR",L137="ERREUR",M137="ERREUR",N137="ERREUR",O137="ERREUR",P137="ERREUR",Q137="ERREUR"),"ERREUR",IF(AND(K137="",L137="",M137="",N137="",O137="",P137="",Q137=""),"ligne vide",IF(OR(K137="",L137="",M137="",N137="",O137="",P137="",Q137=""),"ligne incomplète","Valide")))</f>
        <v xml:space="preserve">ligne vide</v>
      </c>
      <c r="K137" s="48" t="str">
        <f>IF(ISBLANK(B137),IF(ISBLANK(B138),T(B137),"ERREUR"),IF(ISNUMBER(B137),_xlfn.NUMBERVALUE(B137),IF(ISTEXT(B137),VALUE(B137),"ERREUR")))</f>
        <v/>
      </c>
      <c r="L137" s="38" t="str">
        <f>IF(COUNTIF($R$4:$R$6,C137)&gt;0,C137,IF(ISBLANK(C137),IF(ISBLANK(D137),T(C137),"ERREUR"),"ERREUR"))</f>
        <v/>
      </c>
      <c r="M137" s="49" t="str">
        <f>IF(ISBLANK(D137),IF(ISBLANK(D138),T(D137),"ERREUR"),IF(COUNTIF($T$4:$T$240,SUBSTITUTE(SUBSTITUTE(SUBSTITUTE(SUBSTITUTE(SUBSTITUTE(SUBSTITUTE(UPPER(D137),"Å","A"),"É","E"),"È","E"),"Ê","E"),"Î","I"),"Ï","I"))&gt;0,D137,IF(ISBLANK(D137),T(D137),"ERREUR")))</f>
        <v/>
      </c>
      <c r="N137" s="38" t="str">
        <f>IF(COUNTIF($V$4:$V$6,E137)&gt;0,E137,IF(ISBLANK(E137),IF(ISBLANK(E138),T(E137),"ERREUR"),"ERREUR"))</f>
        <v/>
      </c>
      <c r="O137" s="38" t="str">
        <f>IF(COUNTIF($W$4:$W$5,F137)&gt;0,F137,IF(ISBLANK(F137),IF(ISBLANK(F138),T(F137),"ERREUR"),"ERREUR"))</f>
        <v/>
      </c>
      <c r="P137" s="38" t="str">
        <f>IF(COUNTIF($X$4:$X$8,G137)&gt;0,G137,IF(ISBLANK(G137),IF(ISBLANK(G138),T(G137),"ERREUR"),"ERREUR"))</f>
        <v/>
      </c>
      <c r="Q137" s="38" t="str">
        <f>IF(ISNUMBER(H137),IF(INT(H137)=H137,H137,"ERREUR"),IF(ISBLANK(H137),IF(ISBLANK(H138),T(H137),"ERREUR"),"ERREUR"))</f>
        <v/>
      </c>
      <c r="R137" s="38"/>
      <c r="S137" s="1" t="s">
        <v>315</v>
      </c>
      <c r="T137" s="39" t="s">
        <v>316</v>
      </c>
      <c r="U137" s="38" t="str">
        <f>SUBSTITUTE(SUBSTITUTE(SUBSTITUTE(SUBSTITUTE(SUBSTITUTE(SUBSTITUTE(SUBSTITUTE(SUBSTITUTE(UPPER(S137),"Å","A"),"É","E"),"È","E"),"Ê","E"),"Ë","E"),"Î","I"),"Ï","I"),"Ô","O")</f>
        <v>MADAGASCAR</v>
      </c>
      <c r="V137" s="38"/>
      <c r="W137" s="38"/>
      <c r="X137" s="53"/>
      <c r="Y137" s="42"/>
      <c r="Z137" s="42"/>
      <c r="AA137" s="42"/>
    </row>
    <row r="138" ht="13.75" customHeight="1">
      <c r="A138" s="14" t="s">
        <v>140</v>
      </c>
      <c r="B138" s="50"/>
      <c r="C138" s="43"/>
      <c r="D138" s="43"/>
      <c r="E138" s="44"/>
      <c r="F138" s="44"/>
      <c r="G138" s="44"/>
      <c r="H138" s="45"/>
      <c r="I138" s="54"/>
      <c r="J138" s="47" t="str">
        <f>IF(OR(K138="ERREUR",L138="ERREUR",M138="ERREUR",N138="ERREUR",O138="ERREUR",P138="ERREUR",Q138="ERREUR"),"ERREUR",IF(AND(K138="",L138="",M138="",N138="",O138="",P138="",Q138=""),"ligne vide",IF(OR(K138="",L138="",M138="",N138="",O138="",P138="",Q138=""),"ligne incomplète","Valide")))</f>
        <v xml:space="preserve">ligne vide</v>
      </c>
      <c r="K138" s="48" t="str">
        <f>IF(ISBLANK(B138),IF(ISBLANK(B139),T(B138),"ERREUR"),IF(ISNUMBER(B138),_xlfn.NUMBERVALUE(B138),IF(ISTEXT(B138),VALUE(B138),"ERREUR")))</f>
        <v/>
      </c>
      <c r="L138" s="38" t="str">
        <f>IF(COUNTIF($R$4:$R$6,C138)&gt;0,C138,IF(ISBLANK(C138),IF(ISBLANK(D138),T(C138),"ERREUR"),"ERREUR"))</f>
        <v/>
      </c>
      <c r="M138" s="49" t="str">
        <f>IF(ISBLANK(D138),IF(ISBLANK(D139),T(D138),"ERREUR"),IF(COUNTIF($T$4:$T$240,SUBSTITUTE(SUBSTITUTE(SUBSTITUTE(SUBSTITUTE(SUBSTITUTE(SUBSTITUTE(UPPER(D138),"Å","A"),"É","E"),"È","E"),"Ê","E"),"Î","I"),"Ï","I"))&gt;0,D138,IF(ISBLANK(D138),T(D138),"ERREUR")))</f>
        <v/>
      </c>
      <c r="N138" s="38" t="str">
        <f>IF(COUNTIF($V$4:$V$6,E138)&gt;0,E138,IF(ISBLANK(E138),IF(ISBLANK(E139),T(E138),"ERREUR"),"ERREUR"))</f>
        <v/>
      </c>
      <c r="O138" s="38" t="str">
        <f>IF(COUNTIF($W$4:$W$5,F138)&gt;0,F138,IF(ISBLANK(F138),IF(ISBLANK(F139),T(F138),"ERREUR"),"ERREUR"))</f>
        <v/>
      </c>
      <c r="P138" s="38" t="str">
        <f>IF(COUNTIF($X$4:$X$8,G138)&gt;0,G138,IF(ISBLANK(G138),IF(ISBLANK(G139),T(G138),"ERREUR"),"ERREUR"))</f>
        <v/>
      </c>
      <c r="Q138" s="38" t="str">
        <f>IF(ISNUMBER(H138),IF(INT(H138)=H138,H138,"ERREUR"),IF(ISBLANK(H138),IF(ISBLANK(H139),T(H138),"ERREUR"),"ERREUR"))</f>
        <v/>
      </c>
      <c r="R138" s="38"/>
      <c r="S138" s="1" t="s">
        <v>317</v>
      </c>
      <c r="T138" s="39" t="s">
        <v>318</v>
      </c>
      <c r="U138" s="38" t="str">
        <f>SUBSTITUTE(SUBSTITUTE(SUBSTITUTE(SUBSTITUTE(SUBSTITUTE(SUBSTITUTE(SUBSTITUTE(SUBSTITUTE(UPPER(S138),"Å","A"),"É","E"),"È","E"),"Ê","E"),"Ë","E"),"Î","I"),"Ï","I"),"Ô","O")</f>
        <v>MALAISIE</v>
      </c>
      <c r="V138" s="38"/>
      <c r="W138" s="38"/>
      <c r="X138" s="53"/>
      <c r="Y138" s="42"/>
      <c r="Z138" s="42"/>
      <c r="AA138" s="42"/>
    </row>
    <row r="139" ht="13.75" customHeight="1">
      <c r="A139" s="14" t="s">
        <v>140</v>
      </c>
      <c r="B139" s="50"/>
      <c r="C139" s="43"/>
      <c r="D139" s="43"/>
      <c r="E139" s="44"/>
      <c r="F139" s="44"/>
      <c r="G139" s="44"/>
      <c r="H139" s="45"/>
      <c r="I139" s="54"/>
      <c r="J139" s="47" t="str">
        <f>IF(OR(K139="ERREUR",L139="ERREUR",M139="ERREUR",N139="ERREUR",O139="ERREUR",P139="ERREUR",Q139="ERREUR"),"ERREUR",IF(AND(K139="",L139="",M139="",N139="",O139="",P139="",Q139=""),"ligne vide",IF(OR(K139="",L139="",M139="",N139="",O139="",P139="",Q139=""),"ligne incomplète","Valide")))</f>
        <v xml:space="preserve">ligne vide</v>
      </c>
      <c r="K139" s="48" t="str">
        <f>IF(ISBLANK(B139),IF(ISBLANK(B140),T(B139),"ERREUR"),IF(ISNUMBER(B139),_xlfn.NUMBERVALUE(B139),IF(ISTEXT(B139),VALUE(B139),"ERREUR")))</f>
        <v/>
      </c>
      <c r="L139" s="38" t="str">
        <f>IF(COUNTIF($R$4:$R$6,C139)&gt;0,C139,IF(ISBLANK(C139),IF(ISBLANK(D139),T(C139),"ERREUR"),"ERREUR"))</f>
        <v/>
      </c>
      <c r="M139" s="49" t="str">
        <f>IF(ISBLANK(D139),IF(ISBLANK(D140),T(D139),"ERREUR"),IF(COUNTIF($T$4:$T$240,SUBSTITUTE(SUBSTITUTE(SUBSTITUTE(SUBSTITUTE(SUBSTITUTE(SUBSTITUTE(UPPER(D139),"Å","A"),"É","E"),"È","E"),"Ê","E"),"Î","I"),"Ï","I"))&gt;0,D139,IF(ISBLANK(D139),T(D139),"ERREUR")))</f>
        <v/>
      </c>
      <c r="N139" s="38" t="str">
        <f>IF(COUNTIF($V$4:$V$6,E139)&gt;0,E139,IF(ISBLANK(E139),IF(ISBLANK(E140),T(E139),"ERREUR"),"ERREUR"))</f>
        <v/>
      </c>
      <c r="O139" s="38" t="str">
        <f>IF(COUNTIF($W$4:$W$5,F139)&gt;0,F139,IF(ISBLANK(F139),IF(ISBLANK(F140),T(F139),"ERREUR"),"ERREUR"))</f>
        <v/>
      </c>
      <c r="P139" s="38" t="str">
        <f>IF(COUNTIF($X$4:$X$8,G139)&gt;0,G139,IF(ISBLANK(G139),IF(ISBLANK(G140),T(G139),"ERREUR"),"ERREUR"))</f>
        <v/>
      </c>
      <c r="Q139" s="38" t="str">
        <f>IF(ISNUMBER(H139),IF(INT(H139)=H139,H139,"ERREUR"),IF(ISBLANK(H139),IF(ISBLANK(H140),T(H139),"ERREUR"),"ERREUR"))</f>
        <v/>
      </c>
      <c r="R139" s="38"/>
      <c r="S139" s="1" t="s">
        <v>319</v>
      </c>
      <c r="T139" s="39" t="s">
        <v>320</v>
      </c>
      <c r="U139" s="38" t="str">
        <f>SUBSTITUTE(SUBSTITUTE(SUBSTITUTE(SUBSTITUTE(SUBSTITUTE(SUBSTITUTE(SUBSTITUTE(SUBSTITUTE(UPPER(S139),"Å","A"),"É","E"),"È","E"),"Ê","E"),"Ë","E"),"Î","I"),"Ï","I"),"Ô","O")</f>
        <v>MALAWI</v>
      </c>
      <c r="V139" s="38"/>
      <c r="W139" s="38"/>
      <c r="X139" s="53"/>
      <c r="Y139" s="42"/>
      <c r="Z139" s="42"/>
      <c r="AA139" s="42"/>
    </row>
    <row r="140" ht="13.75" customHeight="1">
      <c r="A140" s="14" t="s">
        <v>140</v>
      </c>
      <c r="B140" s="50"/>
      <c r="C140" s="43"/>
      <c r="D140" s="43"/>
      <c r="E140" s="44"/>
      <c r="F140" s="44"/>
      <c r="G140" s="44"/>
      <c r="H140" s="45"/>
      <c r="I140" s="54"/>
      <c r="J140" s="47" t="str">
        <f>IF(OR(K140="ERREUR",L140="ERREUR",M140="ERREUR",N140="ERREUR",O140="ERREUR",P140="ERREUR",Q140="ERREUR"),"ERREUR",IF(AND(K140="",L140="",M140="",N140="",O140="",P140="",Q140=""),"ligne vide",IF(OR(K140="",L140="",M140="",N140="",O140="",P140="",Q140=""),"ligne incomplète","Valide")))</f>
        <v xml:space="preserve">ligne vide</v>
      </c>
      <c r="K140" s="48" t="str">
        <f>IF(ISBLANK(B140),IF(ISBLANK(B141),T(B140),"ERREUR"),IF(ISNUMBER(B140),_xlfn.NUMBERVALUE(B140),IF(ISTEXT(B140),VALUE(B140),"ERREUR")))</f>
        <v/>
      </c>
      <c r="L140" s="38" t="str">
        <f>IF(COUNTIF($R$4:$R$6,C140)&gt;0,C140,IF(ISBLANK(C140),IF(ISBLANK(D140),T(C140),"ERREUR"),"ERREUR"))</f>
        <v/>
      </c>
      <c r="M140" s="49" t="str">
        <f>IF(ISBLANK(D140),IF(ISBLANK(D141),T(D140),"ERREUR"),IF(COUNTIF($T$4:$T$240,SUBSTITUTE(SUBSTITUTE(SUBSTITUTE(SUBSTITUTE(SUBSTITUTE(SUBSTITUTE(UPPER(D140),"Å","A"),"É","E"),"È","E"),"Ê","E"),"Î","I"),"Ï","I"))&gt;0,D140,IF(ISBLANK(D140),T(D140),"ERREUR")))</f>
        <v/>
      </c>
      <c r="N140" s="38" t="str">
        <f>IF(COUNTIF($V$4:$V$6,E140)&gt;0,E140,IF(ISBLANK(E140),IF(ISBLANK(E141),T(E140),"ERREUR"),"ERREUR"))</f>
        <v/>
      </c>
      <c r="O140" s="38" t="str">
        <f>IF(COUNTIF($W$4:$W$5,F140)&gt;0,F140,IF(ISBLANK(F140),IF(ISBLANK(F141),T(F140),"ERREUR"),"ERREUR"))</f>
        <v/>
      </c>
      <c r="P140" s="38" t="str">
        <f>IF(COUNTIF($X$4:$X$8,G140)&gt;0,G140,IF(ISBLANK(G140),IF(ISBLANK(G141),T(G140),"ERREUR"),"ERREUR"))</f>
        <v/>
      </c>
      <c r="Q140" s="38" t="str">
        <f>IF(ISNUMBER(H140),IF(INT(H140)=H140,H140,"ERREUR"),IF(ISBLANK(H140),IF(ISBLANK(H141),T(H140),"ERREUR"),"ERREUR"))</f>
        <v/>
      </c>
      <c r="R140" s="38"/>
      <c r="S140" s="1" t="s">
        <v>321</v>
      </c>
      <c r="T140" s="39" t="s">
        <v>322</v>
      </c>
      <c r="U140" s="38" t="str">
        <f>SUBSTITUTE(SUBSTITUTE(SUBSTITUTE(SUBSTITUTE(SUBSTITUTE(SUBSTITUTE(SUBSTITUTE(SUBSTITUTE(UPPER(S140),"Å","A"),"É","E"),"È","E"),"Ê","E"),"Ë","E"),"Î","I"),"Ï","I"),"Ô","O")</f>
        <v>MALDIVES</v>
      </c>
      <c r="V140" s="38"/>
      <c r="W140" s="38"/>
      <c r="X140" s="53"/>
      <c r="Y140" s="42"/>
      <c r="Z140" s="42"/>
      <c r="AA140" s="42"/>
    </row>
    <row r="141" ht="13.75" customHeight="1">
      <c r="A141" s="14" t="s">
        <v>140</v>
      </c>
      <c r="B141" s="50"/>
      <c r="C141" s="43"/>
      <c r="D141" s="43"/>
      <c r="E141" s="44"/>
      <c r="F141" s="44"/>
      <c r="G141" s="44"/>
      <c r="H141" s="45"/>
      <c r="I141" s="54"/>
      <c r="J141" s="47" t="str">
        <f>IF(OR(K141="ERREUR",L141="ERREUR",M141="ERREUR",N141="ERREUR",O141="ERREUR",P141="ERREUR",Q141="ERREUR"),"ERREUR",IF(AND(K141="",L141="",M141="",N141="",O141="",P141="",Q141=""),"ligne vide",IF(OR(K141="",L141="",M141="",N141="",O141="",P141="",Q141=""),"ligne incomplète","Valide")))</f>
        <v xml:space="preserve">ligne vide</v>
      </c>
      <c r="K141" s="48" t="str">
        <f>IF(ISBLANK(B141),IF(ISBLANK(B142),T(B141),"ERREUR"),IF(ISNUMBER(B141),_xlfn.NUMBERVALUE(B141),IF(ISTEXT(B141),VALUE(B141),"ERREUR")))</f>
        <v/>
      </c>
      <c r="L141" s="38" t="str">
        <f>IF(COUNTIF($R$4:$R$6,C141)&gt;0,C141,IF(ISBLANK(C141),IF(ISBLANK(D141),T(C141),"ERREUR"),"ERREUR"))</f>
        <v/>
      </c>
      <c r="M141" s="49" t="str">
        <f>IF(ISBLANK(D141),IF(ISBLANK(D142),T(D141),"ERREUR"),IF(COUNTIF($T$4:$T$240,SUBSTITUTE(SUBSTITUTE(SUBSTITUTE(SUBSTITUTE(SUBSTITUTE(SUBSTITUTE(UPPER(D141),"Å","A"),"É","E"),"È","E"),"Ê","E"),"Î","I"),"Ï","I"))&gt;0,D141,IF(ISBLANK(D141),T(D141),"ERREUR")))</f>
        <v/>
      </c>
      <c r="N141" s="38" t="str">
        <f>IF(COUNTIF($V$4:$V$6,E141)&gt;0,E141,IF(ISBLANK(E141),IF(ISBLANK(E142),T(E141),"ERREUR"),"ERREUR"))</f>
        <v/>
      </c>
      <c r="O141" s="38" t="str">
        <f>IF(COUNTIF($W$4:$W$5,F141)&gt;0,F141,IF(ISBLANK(F141),IF(ISBLANK(F142),T(F141),"ERREUR"),"ERREUR"))</f>
        <v/>
      </c>
      <c r="P141" s="38" t="str">
        <f>IF(COUNTIF($X$4:$X$8,G141)&gt;0,G141,IF(ISBLANK(G141),IF(ISBLANK(G142),T(G141),"ERREUR"),"ERREUR"))</f>
        <v/>
      </c>
      <c r="Q141" s="38" t="str">
        <f>IF(ISNUMBER(H141),IF(INT(H141)=H141,H141,"ERREUR"),IF(ISBLANK(H141),IF(ISBLANK(H142),T(H141),"ERREUR"),"ERREUR"))</f>
        <v/>
      </c>
      <c r="R141" s="38"/>
      <c r="S141" s="1" t="s">
        <v>323</v>
      </c>
      <c r="T141" s="39" t="s">
        <v>324</v>
      </c>
      <c r="U141" s="38" t="str">
        <f>SUBSTITUTE(SUBSTITUTE(SUBSTITUTE(SUBSTITUTE(SUBSTITUTE(SUBSTITUTE(SUBSTITUTE(SUBSTITUTE(UPPER(S141),"Å","A"),"É","E"),"È","E"),"Ê","E"),"Ë","E"),"Î","I"),"Ï","I"),"Ô","O")</f>
        <v>MALI</v>
      </c>
      <c r="V141" s="38"/>
      <c r="W141" s="38"/>
      <c r="X141" s="53"/>
      <c r="Y141" s="42"/>
      <c r="Z141" s="42"/>
      <c r="AA141" s="42"/>
    </row>
    <row r="142" ht="13.75" customHeight="1">
      <c r="A142" s="14" t="s">
        <v>140</v>
      </c>
      <c r="B142" s="50"/>
      <c r="C142" s="43"/>
      <c r="D142" s="43"/>
      <c r="E142" s="44"/>
      <c r="F142" s="44"/>
      <c r="G142" s="44"/>
      <c r="H142" s="45"/>
      <c r="I142" s="54"/>
      <c r="J142" s="47" t="str">
        <f>IF(OR(K142="ERREUR",L142="ERREUR",M142="ERREUR",N142="ERREUR",O142="ERREUR",P142="ERREUR",Q142="ERREUR"),"ERREUR",IF(AND(K142="",L142="",M142="",N142="",O142="",P142="",Q142=""),"ligne vide",IF(OR(K142="",L142="",M142="",N142="",O142="",P142="",Q142=""),"ligne incomplète","Valide")))</f>
        <v xml:space="preserve">ligne vide</v>
      </c>
      <c r="K142" s="48" t="str">
        <f>IF(ISBLANK(B142),IF(ISBLANK(B143),T(B142),"ERREUR"),IF(ISNUMBER(B142),_xlfn.NUMBERVALUE(B142),IF(ISTEXT(B142),VALUE(B142),"ERREUR")))</f>
        <v/>
      </c>
      <c r="L142" s="38" t="str">
        <f>IF(COUNTIF($R$4:$R$6,C142)&gt;0,C142,IF(ISBLANK(C142),IF(ISBLANK(D142),T(C142),"ERREUR"),"ERREUR"))</f>
        <v/>
      </c>
      <c r="M142" s="49" t="str">
        <f>IF(ISBLANK(D142),IF(ISBLANK(D143),T(D142),"ERREUR"),IF(COUNTIF($T$4:$T$240,SUBSTITUTE(SUBSTITUTE(SUBSTITUTE(SUBSTITUTE(SUBSTITUTE(SUBSTITUTE(UPPER(D142),"Å","A"),"É","E"),"È","E"),"Ê","E"),"Î","I"),"Ï","I"))&gt;0,D142,IF(ISBLANK(D142),T(D142),"ERREUR")))</f>
        <v/>
      </c>
      <c r="N142" s="38" t="str">
        <f>IF(COUNTIF($V$4:$V$6,E142)&gt;0,E142,IF(ISBLANK(E142),IF(ISBLANK(E143),T(E142),"ERREUR"),"ERREUR"))</f>
        <v/>
      </c>
      <c r="O142" s="38" t="str">
        <f>IF(COUNTIF($W$4:$W$5,F142)&gt;0,F142,IF(ISBLANK(F142),IF(ISBLANK(F143),T(F142),"ERREUR"),"ERREUR"))</f>
        <v/>
      </c>
      <c r="P142" s="38" t="str">
        <f>IF(COUNTIF($X$4:$X$8,G142)&gt;0,G142,IF(ISBLANK(G142),IF(ISBLANK(G143),T(G142),"ERREUR"),"ERREUR"))</f>
        <v/>
      </c>
      <c r="Q142" s="38" t="str">
        <f>IF(ISNUMBER(H142),IF(INT(H142)=H142,H142,"ERREUR"),IF(ISBLANK(H142),IF(ISBLANK(H143),T(H142),"ERREUR"),"ERREUR"))</f>
        <v/>
      </c>
      <c r="R142" s="38"/>
      <c r="S142" s="1" t="s">
        <v>325</v>
      </c>
      <c r="T142" s="39" t="s">
        <v>326</v>
      </c>
      <c r="U142" s="38" t="str">
        <f>SUBSTITUTE(SUBSTITUTE(SUBSTITUTE(SUBSTITUTE(SUBSTITUTE(SUBSTITUTE(SUBSTITUTE(SUBSTITUTE(UPPER(S142),"Å","A"),"É","E"),"È","E"),"Ê","E"),"Ë","E"),"Î","I"),"Ï","I"),"Ô","O")</f>
        <v xml:space="preserve">MALOUINES, ILES (FALKLAND)</v>
      </c>
      <c r="V142" s="38"/>
      <c r="W142" s="38"/>
      <c r="X142" s="53"/>
      <c r="Y142" s="42"/>
      <c r="Z142" s="42"/>
      <c r="AA142" s="42"/>
    </row>
    <row r="143" ht="13.75" customHeight="1">
      <c r="A143" s="14" t="s">
        <v>140</v>
      </c>
      <c r="B143" s="50"/>
      <c r="C143" s="43"/>
      <c r="D143" s="43"/>
      <c r="E143" s="44"/>
      <c r="F143" s="44"/>
      <c r="G143" s="44"/>
      <c r="H143" s="45"/>
      <c r="I143" s="54"/>
      <c r="J143" s="47" t="str">
        <f>IF(OR(K143="ERREUR",L143="ERREUR",M143="ERREUR",N143="ERREUR",O143="ERREUR",P143="ERREUR",Q143="ERREUR"),"ERREUR",IF(AND(K143="",L143="",M143="",N143="",O143="",P143="",Q143=""),"ligne vide",IF(OR(K143="",L143="",M143="",N143="",O143="",P143="",Q143=""),"ligne incomplète","Valide")))</f>
        <v xml:space="preserve">ligne vide</v>
      </c>
      <c r="K143" s="48" t="str">
        <f>IF(ISBLANK(B143),IF(ISBLANK(B144),T(B143),"ERREUR"),IF(ISNUMBER(B143),_xlfn.NUMBERVALUE(B143),IF(ISTEXT(B143),VALUE(B143),"ERREUR")))</f>
        <v/>
      </c>
      <c r="L143" s="38" t="str">
        <f>IF(COUNTIF($R$4:$R$6,C143)&gt;0,C143,IF(ISBLANK(C143),IF(ISBLANK(D143),T(C143),"ERREUR"),"ERREUR"))</f>
        <v/>
      </c>
      <c r="M143" s="49" t="str">
        <f>IF(ISBLANK(D143),IF(ISBLANK(D144),T(D143),"ERREUR"),IF(COUNTIF($T$4:$T$240,SUBSTITUTE(SUBSTITUTE(SUBSTITUTE(SUBSTITUTE(SUBSTITUTE(SUBSTITUTE(UPPER(D143),"Å","A"),"É","E"),"È","E"),"Ê","E"),"Î","I"),"Ï","I"))&gt;0,D143,IF(ISBLANK(D143),T(D143),"ERREUR")))</f>
        <v/>
      </c>
      <c r="N143" s="38" t="str">
        <f>IF(COUNTIF($V$4:$V$6,E143)&gt;0,E143,IF(ISBLANK(E143),IF(ISBLANK(E144),T(E143),"ERREUR"),"ERREUR"))</f>
        <v/>
      </c>
      <c r="O143" s="38" t="str">
        <f>IF(COUNTIF($W$4:$W$5,F143)&gt;0,F143,IF(ISBLANK(F143),IF(ISBLANK(F144),T(F143),"ERREUR"),"ERREUR"))</f>
        <v/>
      </c>
      <c r="P143" s="38" t="str">
        <f>IF(COUNTIF($X$4:$X$8,G143)&gt;0,G143,IF(ISBLANK(G143),IF(ISBLANK(G144),T(G143),"ERREUR"),"ERREUR"))</f>
        <v/>
      </c>
      <c r="Q143" s="38" t="str">
        <f>IF(ISNUMBER(H143),IF(INT(H143)=H143,H143,"ERREUR"),IF(ISBLANK(H143),IF(ISBLANK(H144),T(H143),"ERREUR"),"ERREUR"))</f>
        <v/>
      </c>
      <c r="R143" s="38"/>
      <c r="S143" s="1" t="s">
        <v>327</v>
      </c>
      <c r="T143" s="39" t="s">
        <v>328</v>
      </c>
      <c r="U143" s="38" t="str">
        <f>SUBSTITUTE(SUBSTITUTE(SUBSTITUTE(SUBSTITUTE(SUBSTITUTE(SUBSTITUTE(SUBSTITUTE(SUBSTITUTE(UPPER(S143),"Å","A"),"É","E"),"È","E"),"Ê","E"),"Ë","E"),"Î","I"),"Ï","I"),"Ô","O")</f>
        <v>MALTE</v>
      </c>
      <c r="V143" s="38"/>
      <c r="W143" s="38"/>
      <c r="X143" s="53"/>
      <c r="Y143" s="42"/>
      <c r="Z143" s="42"/>
      <c r="AA143" s="42"/>
    </row>
    <row r="144" ht="13.75" customHeight="1">
      <c r="A144" s="14" t="s">
        <v>140</v>
      </c>
      <c r="B144" s="50"/>
      <c r="C144" s="43"/>
      <c r="D144" s="43"/>
      <c r="E144" s="44"/>
      <c r="F144" s="44"/>
      <c r="G144" s="44"/>
      <c r="H144" s="45"/>
      <c r="I144" s="54"/>
      <c r="J144" s="47" t="str">
        <f>IF(OR(K144="ERREUR",L144="ERREUR",M144="ERREUR",N144="ERREUR",O144="ERREUR",P144="ERREUR",Q144="ERREUR"),"ERREUR",IF(AND(K144="",L144="",M144="",N144="",O144="",P144="",Q144=""),"ligne vide",IF(OR(K144="",L144="",M144="",N144="",O144="",P144="",Q144=""),"ligne incomplète","Valide")))</f>
        <v xml:space="preserve">ligne vide</v>
      </c>
      <c r="K144" s="48" t="str">
        <f>IF(ISBLANK(B144),IF(ISBLANK(B145),T(B144),"ERREUR"),IF(ISNUMBER(B144),_xlfn.NUMBERVALUE(B144),IF(ISTEXT(B144),VALUE(B144),"ERREUR")))</f>
        <v/>
      </c>
      <c r="L144" s="38" t="str">
        <f>IF(COUNTIF($R$4:$R$6,C144)&gt;0,C144,IF(ISBLANK(C144),IF(ISBLANK(D144),T(C144),"ERREUR"),"ERREUR"))</f>
        <v/>
      </c>
      <c r="M144" s="49" t="str">
        <f>IF(ISBLANK(D144),IF(ISBLANK(D145),T(D144),"ERREUR"),IF(COUNTIF($T$4:$T$240,SUBSTITUTE(SUBSTITUTE(SUBSTITUTE(SUBSTITUTE(SUBSTITUTE(SUBSTITUTE(UPPER(D144),"Å","A"),"É","E"),"È","E"),"Ê","E"),"Î","I"),"Ï","I"))&gt;0,D144,IF(ISBLANK(D144),T(D144),"ERREUR")))</f>
        <v/>
      </c>
      <c r="N144" s="38" t="str">
        <f>IF(COUNTIF($V$4:$V$6,E144)&gt;0,E144,IF(ISBLANK(E144),IF(ISBLANK(E145),T(E144),"ERREUR"),"ERREUR"))</f>
        <v/>
      </c>
      <c r="O144" s="38" t="str">
        <f>IF(COUNTIF($W$4:$W$5,F144)&gt;0,F144,IF(ISBLANK(F144),IF(ISBLANK(F145),T(F144),"ERREUR"),"ERREUR"))</f>
        <v/>
      </c>
      <c r="P144" s="38" t="str">
        <f>IF(COUNTIF($X$4:$X$8,G144)&gt;0,G144,IF(ISBLANK(G144),IF(ISBLANK(G145),T(G144),"ERREUR"),"ERREUR"))</f>
        <v/>
      </c>
      <c r="Q144" s="38" t="str">
        <f>IF(ISNUMBER(H144),IF(INT(H144)=H144,H144,"ERREUR"),IF(ISBLANK(H144),IF(ISBLANK(H145),T(H144),"ERREUR"),"ERREUR"))</f>
        <v/>
      </c>
      <c r="R144" s="38"/>
      <c r="S144" s="1" t="s">
        <v>329</v>
      </c>
      <c r="T144" s="39" t="s">
        <v>330</v>
      </c>
      <c r="U144" s="38" t="str">
        <f>SUBSTITUTE(SUBSTITUTE(SUBSTITUTE(SUBSTITUTE(SUBSTITUTE(SUBSTITUTE(SUBSTITUTE(SUBSTITUTE(UPPER(S144),"Å","A"),"É","E"),"È","E"),"Ê","E"),"Ë","E"),"Î","I"),"Ï","I"),"Ô","O")</f>
        <v>MAROC</v>
      </c>
      <c r="V144" s="38"/>
      <c r="W144" s="38"/>
      <c r="X144" s="53"/>
      <c r="Y144" s="42"/>
      <c r="Z144" s="42"/>
      <c r="AA144" s="42"/>
    </row>
    <row r="145" ht="13.75" customHeight="1">
      <c r="A145" s="14" t="s">
        <v>140</v>
      </c>
      <c r="B145" s="50"/>
      <c r="C145" s="43"/>
      <c r="D145" s="43"/>
      <c r="E145" s="44"/>
      <c r="F145" s="44"/>
      <c r="G145" s="44"/>
      <c r="H145" s="45"/>
      <c r="I145" s="54"/>
      <c r="J145" s="47" t="str">
        <f>IF(OR(K145="ERREUR",L145="ERREUR",M145="ERREUR",N145="ERREUR",O145="ERREUR",P145="ERREUR",Q145="ERREUR"),"ERREUR",IF(AND(K145="",L145="",M145="",N145="",O145="",P145="",Q145=""),"ligne vide",IF(OR(K145="",L145="",M145="",N145="",O145="",P145="",Q145=""),"ligne incomplète","Valide")))</f>
        <v xml:space="preserve">ligne vide</v>
      </c>
      <c r="K145" s="48" t="str">
        <f>IF(ISBLANK(B145),IF(ISBLANK(B146),T(B145),"ERREUR"),IF(ISNUMBER(B145),_xlfn.NUMBERVALUE(B145),IF(ISTEXT(B145),VALUE(B145),"ERREUR")))</f>
        <v/>
      </c>
      <c r="L145" s="38" t="str">
        <f>IF(COUNTIF($R$4:$R$6,C145)&gt;0,C145,IF(ISBLANK(C145),IF(ISBLANK(D145),T(C145),"ERREUR"),"ERREUR"))</f>
        <v/>
      </c>
      <c r="M145" s="49" t="str">
        <f>IF(ISBLANK(D145),IF(ISBLANK(D146),T(D145),"ERREUR"),IF(COUNTIF($T$4:$T$240,SUBSTITUTE(SUBSTITUTE(SUBSTITUTE(SUBSTITUTE(SUBSTITUTE(SUBSTITUTE(UPPER(D145),"Å","A"),"É","E"),"È","E"),"Ê","E"),"Î","I"),"Ï","I"))&gt;0,D145,IF(ISBLANK(D145),T(D145),"ERREUR")))</f>
        <v/>
      </c>
      <c r="N145" s="38" t="str">
        <f>IF(COUNTIF($V$4:$V$6,E145)&gt;0,E145,IF(ISBLANK(E145),IF(ISBLANK(E146),T(E145),"ERREUR"),"ERREUR"))</f>
        <v/>
      </c>
      <c r="O145" s="38" t="str">
        <f>IF(COUNTIF($W$4:$W$5,F145)&gt;0,F145,IF(ISBLANK(F145),IF(ISBLANK(F146),T(F145),"ERREUR"),"ERREUR"))</f>
        <v/>
      </c>
      <c r="P145" s="38" t="str">
        <f>IF(COUNTIF($X$4:$X$8,G145)&gt;0,G145,IF(ISBLANK(G145),IF(ISBLANK(G146),T(G145),"ERREUR"),"ERREUR"))</f>
        <v/>
      </c>
      <c r="Q145" s="38" t="str">
        <f>IF(ISNUMBER(H145),IF(INT(H145)=H145,H145,"ERREUR"),IF(ISBLANK(H145),IF(ISBLANK(H146),T(H145),"ERREUR"),"ERREUR"))</f>
        <v/>
      </c>
      <c r="R145" s="38"/>
      <c r="S145" s="1" t="s">
        <v>331</v>
      </c>
      <c r="T145" s="39" t="s">
        <v>332</v>
      </c>
      <c r="U145" s="38" t="str">
        <f>SUBSTITUTE(SUBSTITUTE(SUBSTITUTE(SUBSTITUTE(SUBSTITUTE(SUBSTITUTE(SUBSTITUTE(SUBSTITUTE(UPPER(S145),"Å","A"),"É","E"),"È","E"),"Ê","E"),"Ë","E"),"Î","I"),"Ï","I"),"Ô","O")</f>
        <v>MAURICE</v>
      </c>
      <c r="V145" s="38"/>
      <c r="W145" s="38"/>
      <c r="X145" s="53"/>
      <c r="Y145" s="42"/>
      <c r="Z145" s="42"/>
      <c r="AA145" s="42"/>
    </row>
    <row r="146" ht="13.75" customHeight="1">
      <c r="A146" s="14" t="s">
        <v>140</v>
      </c>
      <c r="B146" s="50"/>
      <c r="C146" s="43"/>
      <c r="D146" s="43"/>
      <c r="E146" s="44"/>
      <c r="F146" s="44"/>
      <c r="G146" s="44"/>
      <c r="H146" s="45"/>
      <c r="I146" s="54"/>
      <c r="J146" s="47" t="str">
        <f>IF(OR(K146="ERREUR",L146="ERREUR",M146="ERREUR",N146="ERREUR",O146="ERREUR",P146="ERREUR",Q146="ERREUR"),"ERREUR",IF(AND(K146="",L146="",M146="",N146="",O146="",P146="",Q146=""),"ligne vide",IF(OR(K146="",L146="",M146="",N146="",O146="",P146="",Q146=""),"ligne incomplète","Valide")))</f>
        <v xml:space="preserve">ligne vide</v>
      </c>
      <c r="K146" s="48" t="str">
        <f>IF(ISBLANK(B146),IF(ISBLANK(B147),T(B146),"ERREUR"),IF(ISNUMBER(B146),_xlfn.NUMBERVALUE(B146),IF(ISTEXT(B146),VALUE(B146),"ERREUR")))</f>
        <v/>
      </c>
      <c r="L146" s="38" t="str">
        <f>IF(COUNTIF($R$4:$R$6,C146)&gt;0,C146,IF(ISBLANK(C146),IF(ISBLANK(D146),T(C146),"ERREUR"),"ERREUR"))</f>
        <v/>
      </c>
      <c r="M146" s="49" t="str">
        <f>IF(ISBLANK(D146),IF(ISBLANK(D147),T(D146),"ERREUR"),IF(COUNTIF($T$4:$T$240,SUBSTITUTE(SUBSTITUTE(SUBSTITUTE(SUBSTITUTE(SUBSTITUTE(SUBSTITUTE(UPPER(D146),"Å","A"),"É","E"),"È","E"),"Ê","E"),"Î","I"),"Ï","I"))&gt;0,D146,IF(ISBLANK(D146),T(D146),"ERREUR")))</f>
        <v/>
      </c>
      <c r="N146" s="38" t="str">
        <f>IF(COUNTIF($V$4:$V$6,E146)&gt;0,E146,IF(ISBLANK(E146),IF(ISBLANK(E147),T(E146),"ERREUR"),"ERREUR"))</f>
        <v/>
      </c>
      <c r="O146" s="38" t="str">
        <f>IF(COUNTIF($W$4:$W$5,F146)&gt;0,F146,IF(ISBLANK(F146),IF(ISBLANK(F147),T(F146),"ERREUR"),"ERREUR"))</f>
        <v/>
      </c>
      <c r="P146" s="38" t="str">
        <f>IF(COUNTIF($X$4:$X$8,G146)&gt;0,G146,IF(ISBLANK(G146),IF(ISBLANK(G147),T(G146),"ERREUR"),"ERREUR"))</f>
        <v/>
      </c>
      <c r="Q146" s="38" t="str">
        <f>IF(ISNUMBER(H146),IF(INT(H146)=H146,H146,"ERREUR"),IF(ISBLANK(H146),IF(ISBLANK(H147),T(H146),"ERREUR"),"ERREUR"))</f>
        <v/>
      </c>
      <c r="R146" s="38"/>
      <c r="S146" s="1" t="s">
        <v>333</v>
      </c>
      <c r="T146" s="39" t="s">
        <v>334</v>
      </c>
      <c r="U146" s="38" t="str">
        <f>SUBSTITUTE(SUBSTITUTE(SUBSTITUTE(SUBSTITUTE(SUBSTITUTE(SUBSTITUTE(SUBSTITUTE(SUBSTITUTE(UPPER(S146),"Å","A"),"É","E"),"È","E"),"Ê","E"),"Ë","E"),"Î","I"),"Ï","I"),"Ô","O")</f>
        <v>MAURITANIE</v>
      </c>
      <c r="V146" s="38"/>
      <c r="W146" s="38"/>
      <c r="X146" s="53"/>
      <c r="Y146" s="42"/>
      <c r="Z146" s="42"/>
      <c r="AA146" s="42"/>
    </row>
    <row r="147" ht="13.75" customHeight="1">
      <c r="A147" s="14" t="s">
        <v>140</v>
      </c>
      <c r="B147" s="50"/>
      <c r="C147" s="43"/>
      <c r="D147" s="43"/>
      <c r="E147" s="44"/>
      <c r="F147" s="44"/>
      <c r="G147" s="44"/>
      <c r="H147" s="45"/>
      <c r="I147" s="54"/>
      <c r="J147" s="47" t="str">
        <f>IF(OR(K147="ERREUR",L147="ERREUR",M147="ERREUR",N147="ERREUR",O147="ERREUR",P147="ERREUR",Q147="ERREUR"),"ERREUR",IF(AND(K147="",L147="",M147="",N147="",O147="",P147="",Q147=""),"ligne vide",IF(OR(K147="",L147="",M147="",N147="",O147="",P147="",Q147=""),"ligne incomplète","Valide")))</f>
        <v xml:space="preserve">ligne vide</v>
      </c>
      <c r="K147" s="48" t="str">
        <f>IF(ISBLANK(B147),IF(ISBLANK(B148),T(B147),"ERREUR"),IF(ISNUMBER(B147),_xlfn.NUMBERVALUE(B147),IF(ISTEXT(B147),VALUE(B147),"ERREUR")))</f>
        <v/>
      </c>
      <c r="L147" s="38" t="str">
        <f>IF(COUNTIF($R$4:$R$6,C147)&gt;0,C147,IF(ISBLANK(C147),IF(ISBLANK(D147),T(C147),"ERREUR"),"ERREUR"))</f>
        <v/>
      </c>
      <c r="M147" s="49" t="str">
        <f>IF(ISBLANK(D147),IF(ISBLANK(D148),T(D147),"ERREUR"),IF(COUNTIF($T$4:$T$240,SUBSTITUTE(SUBSTITUTE(SUBSTITUTE(SUBSTITUTE(SUBSTITUTE(SUBSTITUTE(UPPER(D147),"Å","A"),"É","E"),"È","E"),"Ê","E"),"Î","I"),"Ï","I"))&gt;0,D147,IF(ISBLANK(D147),T(D147),"ERREUR")))</f>
        <v/>
      </c>
      <c r="N147" s="38" t="str">
        <f>IF(COUNTIF($V$4:$V$6,E147)&gt;0,E147,IF(ISBLANK(E147),IF(ISBLANK(E148),T(E147),"ERREUR"),"ERREUR"))</f>
        <v/>
      </c>
      <c r="O147" s="38" t="str">
        <f>IF(COUNTIF($W$4:$W$5,F147)&gt;0,F147,IF(ISBLANK(F147),IF(ISBLANK(F148),T(F147),"ERREUR"),"ERREUR"))</f>
        <v/>
      </c>
      <c r="P147" s="38" t="str">
        <f>IF(COUNTIF($X$4:$X$8,G147)&gt;0,G147,IF(ISBLANK(G147),IF(ISBLANK(G148),T(G147),"ERREUR"),"ERREUR"))</f>
        <v/>
      </c>
      <c r="Q147" s="38" t="str">
        <f>IF(ISNUMBER(H147),IF(INT(H147)=H147,H147,"ERREUR"),IF(ISBLANK(H147),IF(ISBLANK(H148),T(H147),"ERREUR"),"ERREUR"))</f>
        <v/>
      </c>
      <c r="R147" s="38"/>
      <c r="S147" s="1" t="s">
        <v>335</v>
      </c>
      <c r="T147" s="39" t="s">
        <v>336</v>
      </c>
      <c r="U147" s="38" t="str">
        <f>SUBSTITUTE(SUBSTITUTE(SUBSTITUTE(SUBSTITUTE(SUBSTITUTE(SUBSTITUTE(SUBSTITUTE(SUBSTITUTE(UPPER(S147),"Å","A"),"É","E"),"È","E"),"Ê","E"),"Ë","E"),"Î","I"),"Ï","I"),"Ô","O")</f>
        <v>MEXIQUE</v>
      </c>
      <c r="V147" s="38"/>
      <c r="W147" s="38"/>
      <c r="X147" s="53"/>
      <c r="Y147" s="42"/>
      <c r="Z147" s="42"/>
      <c r="AA147" s="42"/>
    </row>
    <row r="148" ht="13.75" customHeight="1">
      <c r="A148" s="14" t="s">
        <v>140</v>
      </c>
      <c r="B148" s="50"/>
      <c r="C148" s="43"/>
      <c r="D148" s="43"/>
      <c r="E148" s="44"/>
      <c r="F148" s="44"/>
      <c r="G148" s="44"/>
      <c r="H148" s="45"/>
      <c r="I148" s="54"/>
      <c r="J148" s="47" t="str">
        <f>IF(OR(K148="ERREUR",L148="ERREUR",M148="ERREUR",N148="ERREUR",O148="ERREUR",P148="ERREUR",Q148="ERREUR"),"ERREUR",IF(AND(K148="",L148="",M148="",N148="",O148="",P148="",Q148=""),"ligne vide",IF(OR(K148="",L148="",M148="",N148="",O148="",P148="",Q148=""),"ligne incomplète","Valide")))</f>
        <v xml:space="preserve">ligne vide</v>
      </c>
      <c r="K148" s="48" t="str">
        <f>IF(ISBLANK(B148),IF(ISBLANK(B149),T(B148),"ERREUR"),IF(ISNUMBER(B148),_xlfn.NUMBERVALUE(B148),IF(ISTEXT(B148),VALUE(B148),"ERREUR")))</f>
        <v/>
      </c>
      <c r="L148" s="38" t="str">
        <f>IF(COUNTIF($R$4:$R$6,C148)&gt;0,C148,IF(ISBLANK(C148),IF(ISBLANK(D148),T(C148),"ERREUR"),"ERREUR"))</f>
        <v/>
      </c>
      <c r="M148" s="49" t="str">
        <f>IF(ISBLANK(D148),IF(ISBLANK(D149),T(D148),"ERREUR"),IF(COUNTIF($T$4:$T$240,SUBSTITUTE(SUBSTITUTE(SUBSTITUTE(SUBSTITUTE(SUBSTITUTE(SUBSTITUTE(UPPER(D148),"Å","A"),"É","E"),"È","E"),"Ê","E"),"Î","I"),"Ï","I"))&gt;0,D148,IF(ISBLANK(D148),T(D148),"ERREUR")))</f>
        <v/>
      </c>
      <c r="N148" s="38" t="str">
        <f>IF(COUNTIF($V$4:$V$6,E148)&gt;0,E148,IF(ISBLANK(E148),IF(ISBLANK(E149),T(E148),"ERREUR"),"ERREUR"))</f>
        <v/>
      </c>
      <c r="O148" s="38" t="str">
        <f>IF(COUNTIF($W$4:$W$5,F148)&gt;0,F148,IF(ISBLANK(F148),IF(ISBLANK(F149),T(F148),"ERREUR"),"ERREUR"))</f>
        <v/>
      </c>
      <c r="P148" s="38" t="str">
        <f>IF(COUNTIF($X$4:$X$8,G148)&gt;0,G148,IF(ISBLANK(G148),IF(ISBLANK(G149),T(G148),"ERREUR"),"ERREUR"))</f>
        <v/>
      </c>
      <c r="Q148" s="38" t="str">
        <f>IF(ISNUMBER(H148),IF(INT(H148)=H148,H148,"ERREUR"),IF(ISBLANK(H148),IF(ISBLANK(H149),T(H148),"ERREUR"),"ERREUR"))</f>
        <v/>
      </c>
      <c r="R148" s="38"/>
      <c r="S148" s="1" t="s">
        <v>337</v>
      </c>
      <c r="T148" s="39" t="s">
        <v>338</v>
      </c>
      <c r="U148" s="38" t="str">
        <f>SUBSTITUTE(SUBSTITUTE(SUBSTITUTE(SUBSTITUTE(SUBSTITUTE(SUBSTITUTE(SUBSTITUTE(SUBSTITUTE(UPPER(S148),"Å","A"),"É","E"),"È","E"),"Ê","E"),"Ë","E"),"Î","I"),"Ï","I"),"Ô","O")</f>
        <v xml:space="preserve">MICRONESIE, ETATS FEDERES DE</v>
      </c>
      <c r="V148" s="38"/>
      <c r="W148" s="38"/>
      <c r="X148" s="53"/>
      <c r="Y148" s="42"/>
      <c r="Z148" s="42"/>
      <c r="AA148" s="42"/>
    </row>
    <row r="149" ht="13.75" customHeight="1">
      <c r="A149" s="14" t="s">
        <v>140</v>
      </c>
      <c r="B149" s="50"/>
      <c r="C149" s="43"/>
      <c r="D149" s="43"/>
      <c r="E149" s="44"/>
      <c r="F149" s="44"/>
      <c r="G149" s="44"/>
      <c r="H149" s="45"/>
      <c r="I149" s="54"/>
      <c r="J149" s="47" t="str">
        <f>IF(OR(K149="ERREUR",L149="ERREUR",M149="ERREUR",N149="ERREUR",O149="ERREUR",P149="ERREUR",Q149="ERREUR"),"ERREUR",IF(AND(K149="",L149="",M149="",N149="",O149="",P149="",Q149=""),"ligne vide",IF(OR(K149="",L149="",M149="",N149="",O149="",P149="",Q149=""),"ligne incomplète","Valide")))</f>
        <v xml:space="preserve">ligne vide</v>
      </c>
      <c r="K149" s="48" t="str">
        <f>IF(ISBLANK(B149),IF(ISBLANK(B150),T(B149),"ERREUR"),IF(ISNUMBER(B149),_xlfn.NUMBERVALUE(B149),IF(ISTEXT(B149),VALUE(B149),"ERREUR")))</f>
        <v/>
      </c>
      <c r="L149" s="38" t="str">
        <f>IF(COUNTIF($R$4:$R$6,C149)&gt;0,C149,IF(ISBLANK(C149),IF(ISBLANK(D149),T(C149),"ERREUR"),"ERREUR"))</f>
        <v/>
      </c>
      <c r="M149" s="49" t="str">
        <f>IF(ISBLANK(D149),IF(ISBLANK(D150),T(D149),"ERREUR"),IF(COUNTIF($T$4:$T$240,SUBSTITUTE(SUBSTITUTE(SUBSTITUTE(SUBSTITUTE(SUBSTITUTE(SUBSTITUTE(UPPER(D149),"Å","A"),"É","E"),"È","E"),"Ê","E"),"Î","I"),"Ï","I"))&gt;0,D149,IF(ISBLANK(D149),T(D149),"ERREUR")))</f>
        <v/>
      </c>
      <c r="N149" s="38" t="str">
        <f>IF(COUNTIF($V$4:$V$6,E149)&gt;0,E149,IF(ISBLANK(E149),IF(ISBLANK(E150),T(E149),"ERREUR"),"ERREUR"))</f>
        <v/>
      </c>
      <c r="O149" s="38" t="str">
        <f>IF(COUNTIF($W$4:$W$5,F149)&gt;0,F149,IF(ISBLANK(F149),IF(ISBLANK(F150),T(F149),"ERREUR"),"ERREUR"))</f>
        <v/>
      </c>
      <c r="P149" s="38" t="str">
        <f>IF(COUNTIF($X$4:$X$8,G149)&gt;0,G149,IF(ISBLANK(G149),IF(ISBLANK(G150),T(G149),"ERREUR"),"ERREUR"))</f>
        <v/>
      </c>
      <c r="Q149" s="38" t="str">
        <f>IF(ISNUMBER(H149),IF(INT(H149)=H149,H149,"ERREUR"),IF(ISBLANK(H149),IF(ISBLANK(H150),T(H149),"ERREUR"),"ERREUR"))</f>
        <v/>
      </c>
      <c r="R149" s="38"/>
      <c r="S149" s="1" t="s">
        <v>339</v>
      </c>
      <c r="T149" s="39" t="s">
        <v>340</v>
      </c>
      <c r="U149" s="38" t="str">
        <f>SUBSTITUTE(SUBSTITUTE(SUBSTITUTE(SUBSTITUTE(SUBSTITUTE(SUBSTITUTE(SUBSTITUTE(SUBSTITUTE(UPPER(S149),"Å","A"),"É","E"),"È","E"),"Ê","E"),"Ë","E"),"Î","I"),"Ï","I"),"Ô","O")</f>
        <v>MOLDAVIE</v>
      </c>
      <c r="V149" s="38"/>
      <c r="W149" s="38"/>
      <c r="X149" s="53"/>
      <c r="Y149" s="42"/>
      <c r="Z149" s="42"/>
      <c r="AA149" s="42"/>
    </row>
    <row r="150" ht="13.75" customHeight="1">
      <c r="A150" s="14" t="s">
        <v>140</v>
      </c>
      <c r="B150" s="50"/>
      <c r="C150" s="43"/>
      <c r="D150" s="43"/>
      <c r="E150" s="44"/>
      <c r="F150" s="44"/>
      <c r="G150" s="44"/>
      <c r="H150" s="45"/>
      <c r="I150" s="54"/>
      <c r="J150" s="47" t="str">
        <f>IF(OR(K150="ERREUR",L150="ERREUR",M150="ERREUR",N150="ERREUR",O150="ERREUR",P150="ERREUR",Q150="ERREUR"),"ERREUR",IF(AND(K150="",L150="",M150="",N150="",O150="",P150="",Q150=""),"ligne vide",IF(OR(K150="",L150="",M150="",N150="",O150="",P150="",Q150=""),"ligne incomplète","Valide")))</f>
        <v xml:space="preserve">ligne vide</v>
      </c>
      <c r="K150" s="48" t="str">
        <f>IF(ISBLANK(B150),IF(ISBLANK(B151),T(B150),"ERREUR"),IF(ISNUMBER(B150),_xlfn.NUMBERVALUE(B150),IF(ISTEXT(B150),VALUE(B150),"ERREUR")))</f>
        <v/>
      </c>
      <c r="L150" s="38" t="str">
        <f>IF(COUNTIF($R$4:$R$6,C150)&gt;0,C150,IF(ISBLANK(C150),IF(ISBLANK(D150),T(C150),"ERREUR"),"ERREUR"))</f>
        <v/>
      </c>
      <c r="M150" s="49" t="str">
        <f>IF(ISBLANK(D150),IF(ISBLANK(D151),T(D150),"ERREUR"),IF(COUNTIF($T$4:$T$240,SUBSTITUTE(SUBSTITUTE(SUBSTITUTE(SUBSTITUTE(SUBSTITUTE(SUBSTITUTE(UPPER(D150),"Å","A"),"É","E"),"È","E"),"Ê","E"),"Î","I"),"Ï","I"))&gt;0,D150,IF(ISBLANK(D150),T(D150),"ERREUR")))</f>
        <v/>
      </c>
      <c r="N150" s="38" t="str">
        <f>IF(COUNTIF($V$4:$V$6,E150)&gt;0,E150,IF(ISBLANK(E150),IF(ISBLANK(E151),T(E150),"ERREUR"),"ERREUR"))</f>
        <v/>
      </c>
      <c r="O150" s="38" t="str">
        <f>IF(COUNTIF($W$4:$W$5,F150)&gt;0,F150,IF(ISBLANK(F150),IF(ISBLANK(F151),T(F150),"ERREUR"),"ERREUR"))</f>
        <v/>
      </c>
      <c r="P150" s="38" t="str">
        <f>IF(COUNTIF($X$4:$X$8,G150)&gt;0,G150,IF(ISBLANK(G150),IF(ISBLANK(G151),T(G150),"ERREUR"),"ERREUR"))</f>
        <v/>
      </c>
      <c r="Q150" s="38" t="str">
        <f>IF(ISNUMBER(H150),IF(INT(H150)=H150,H150,"ERREUR"),IF(ISBLANK(H150),IF(ISBLANK(H151),T(H150),"ERREUR"),"ERREUR"))</f>
        <v/>
      </c>
      <c r="R150" s="38"/>
      <c r="S150" s="1" t="s">
        <v>341</v>
      </c>
      <c r="T150" s="39" t="s">
        <v>342</v>
      </c>
      <c r="U150" s="38" t="str">
        <f>SUBSTITUTE(SUBSTITUTE(SUBSTITUTE(SUBSTITUTE(SUBSTITUTE(SUBSTITUTE(SUBSTITUTE(SUBSTITUTE(UPPER(S150),"Å","A"),"É","E"),"È","E"),"Ê","E"),"Ë","E"),"Î","I"),"Ï","I"),"Ô","O")</f>
        <v>MONACO</v>
      </c>
      <c r="V150" s="38"/>
      <c r="W150" s="38"/>
      <c r="X150" s="53"/>
      <c r="Y150" s="42"/>
      <c r="Z150" s="42"/>
      <c r="AA150" s="42"/>
    </row>
    <row r="151" ht="13.75" customHeight="1">
      <c r="A151" s="14" t="s">
        <v>140</v>
      </c>
      <c r="B151" s="50"/>
      <c r="C151" s="43"/>
      <c r="D151" s="43"/>
      <c r="E151" s="44"/>
      <c r="F151" s="44"/>
      <c r="G151" s="44"/>
      <c r="H151" s="45"/>
      <c r="I151" s="54"/>
      <c r="J151" s="47" t="str">
        <f>IF(OR(K151="ERREUR",L151="ERREUR",M151="ERREUR",N151="ERREUR",O151="ERREUR",P151="ERREUR",Q151="ERREUR"),"ERREUR",IF(AND(K151="",L151="",M151="",N151="",O151="",P151="",Q151=""),"ligne vide",IF(OR(K151="",L151="",M151="",N151="",O151="",P151="",Q151=""),"ligne incomplète","Valide")))</f>
        <v xml:space="preserve">ligne vide</v>
      </c>
      <c r="K151" s="48" t="str">
        <f>IF(ISBLANK(B151),IF(ISBLANK(B152),T(B151),"ERREUR"),IF(ISNUMBER(B151),_xlfn.NUMBERVALUE(B151),IF(ISTEXT(B151),VALUE(B151),"ERREUR")))</f>
        <v/>
      </c>
      <c r="L151" s="38" t="str">
        <f>IF(COUNTIF($R$4:$R$6,C151)&gt;0,C151,IF(ISBLANK(C151),IF(ISBLANK(D151),T(C151),"ERREUR"),"ERREUR"))</f>
        <v/>
      </c>
      <c r="M151" s="49" t="str">
        <f>IF(ISBLANK(D151),IF(ISBLANK(D152),T(D151),"ERREUR"),IF(COUNTIF($T$4:$T$240,SUBSTITUTE(SUBSTITUTE(SUBSTITUTE(SUBSTITUTE(SUBSTITUTE(SUBSTITUTE(UPPER(D151),"Å","A"),"É","E"),"È","E"),"Ê","E"),"Î","I"),"Ï","I"))&gt;0,D151,IF(ISBLANK(D151),T(D151),"ERREUR")))</f>
        <v/>
      </c>
      <c r="N151" s="38" t="str">
        <f>IF(COUNTIF($V$4:$V$6,E151)&gt;0,E151,IF(ISBLANK(E151),IF(ISBLANK(E152),T(E151),"ERREUR"),"ERREUR"))</f>
        <v/>
      </c>
      <c r="O151" s="38" t="str">
        <f>IF(COUNTIF($W$4:$W$5,F151)&gt;0,F151,IF(ISBLANK(F151),IF(ISBLANK(F152),T(F151),"ERREUR"),"ERREUR"))</f>
        <v/>
      </c>
      <c r="P151" s="38" t="str">
        <f>IF(COUNTIF($X$4:$X$8,G151)&gt;0,G151,IF(ISBLANK(G151),IF(ISBLANK(G152),T(G151),"ERREUR"),"ERREUR"))</f>
        <v/>
      </c>
      <c r="Q151" s="38" t="str">
        <f>IF(ISNUMBER(H151),IF(INT(H151)=H151,H151,"ERREUR"),IF(ISBLANK(H151),IF(ISBLANK(H152),T(H151),"ERREUR"),"ERREUR"))</f>
        <v/>
      </c>
      <c r="R151" s="38"/>
      <c r="S151" s="1" t="s">
        <v>343</v>
      </c>
      <c r="T151" s="39" t="s">
        <v>344</v>
      </c>
      <c r="U151" s="38" t="str">
        <f>SUBSTITUTE(SUBSTITUTE(SUBSTITUTE(SUBSTITUTE(SUBSTITUTE(SUBSTITUTE(SUBSTITUTE(SUBSTITUTE(UPPER(S151),"Å","A"),"É","E"),"È","E"),"Ê","E"),"Ë","E"),"Î","I"),"Ï","I"),"Ô","O")</f>
        <v>MONGOLIE</v>
      </c>
      <c r="V151" s="38"/>
      <c r="W151" s="38"/>
      <c r="X151" s="53"/>
      <c r="Y151" s="42"/>
      <c r="Z151" s="42"/>
      <c r="AA151" s="42"/>
    </row>
    <row r="152" ht="13.75" customHeight="1">
      <c r="A152" s="14" t="s">
        <v>140</v>
      </c>
      <c r="B152" s="50"/>
      <c r="C152" s="43"/>
      <c r="D152" s="43"/>
      <c r="E152" s="44"/>
      <c r="F152" s="44"/>
      <c r="G152" s="44"/>
      <c r="H152" s="45"/>
      <c r="I152" s="54"/>
      <c r="J152" s="47" t="str">
        <f>IF(OR(K152="ERREUR",L152="ERREUR",M152="ERREUR",N152="ERREUR",O152="ERREUR",P152="ERREUR",Q152="ERREUR"),"ERREUR",IF(AND(K152="",L152="",M152="",N152="",O152="",P152="",Q152=""),"ligne vide",IF(OR(K152="",L152="",M152="",N152="",O152="",P152="",Q152=""),"ligne incomplète","Valide")))</f>
        <v xml:space="preserve">ligne vide</v>
      </c>
      <c r="K152" s="48" t="str">
        <f>IF(ISBLANK(B152),IF(ISBLANK(B153),T(B152),"ERREUR"),IF(ISNUMBER(B152),_xlfn.NUMBERVALUE(B152),IF(ISTEXT(B152),VALUE(B152),"ERREUR")))</f>
        <v/>
      </c>
      <c r="L152" s="38" t="str">
        <f>IF(COUNTIF($R$4:$R$6,C152)&gt;0,C152,IF(ISBLANK(C152),IF(ISBLANK(D152),T(C152),"ERREUR"),"ERREUR"))</f>
        <v/>
      </c>
      <c r="M152" s="49" t="str">
        <f>IF(ISBLANK(D152),IF(ISBLANK(D153),T(D152),"ERREUR"),IF(COUNTIF($T$4:$T$240,SUBSTITUTE(SUBSTITUTE(SUBSTITUTE(SUBSTITUTE(SUBSTITUTE(SUBSTITUTE(UPPER(D152),"Å","A"),"É","E"),"È","E"),"Ê","E"),"Î","I"),"Ï","I"))&gt;0,D152,IF(ISBLANK(D152),T(D152),"ERREUR")))</f>
        <v/>
      </c>
      <c r="N152" s="38" t="str">
        <f>IF(COUNTIF($V$4:$V$6,E152)&gt;0,E152,IF(ISBLANK(E152),IF(ISBLANK(E153),T(E152),"ERREUR"),"ERREUR"))</f>
        <v/>
      </c>
      <c r="O152" s="38" t="str">
        <f>IF(COUNTIF($W$4:$W$5,F152)&gt;0,F152,IF(ISBLANK(F152),IF(ISBLANK(F153),T(F152),"ERREUR"),"ERREUR"))</f>
        <v/>
      </c>
      <c r="P152" s="38" t="str">
        <f>IF(COUNTIF($X$4:$X$8,G152)&gt;0,G152,IF(ISBLANK(G152),IF(ISBLANK(G153),T(G152),"ERREUR"),"ERREUR"))</f>
        <v/>
      </c>
      <c r="Q152" s="38" t="str">
        <f>IF(ISNUMBER(H152),IF(INT(H152)=H152,H152,"ERREUR"),IF(ISBLANK(H152),IF(ISBLANK(H153),T(H152),"ERREUR"),"ERREUR"))</f>
        <v/>
      </c>
      <c r="R152" s="38"/>
      <c r="S152" s="1" t="s">
        <v>345</v>
      </c>
      <c r="T152" s="39" t="s">
        <v>346</v>
      </c>
      <c r="U152" s="38" t="str">
        <f>SUBSTITUTE(SUBSTITUTE(SUBSTITUTE(SUBSTITUTE(SUBSTITUTE(SUBSTITUTE(SUBSTITUTE(SUBSTITUTE(UPPER(S152),"Å","A"),"É","E"),"È","E"),"Ê","E"),"Ë","E"),"Î","I"),"Ï","I"),"Ô","O")</f>
        <v>MONTENEGRO</v>
      </c>
      <c r="V152" s="38"/>
      <c r="W152" s="38"/>
      <c r="X152" s="53"/>
      <c r="Y152" s="42"/>
      <c r="Z152" s="42"/>
      <c r="AA152" s="42"/>
    </row>
    <row r="153" ht="13.75" customHeight="1">
      <c r="A153" s="14" t="s">
        <v>140</v>
      </c>
      <c r="B153" s="50"/>
      <c r="C153" s="43"/>
      <c r="D153" s="43"/>
      <c r="E153" s="44"/>
      <c r="F153" s="44"/>
      <c r="G153" s="44"/>
      <c r="H153" s="45"/>
      <c r="I153" s="54"/>
      <c r="J153" s="47" t="str">
        <f>IF(OR(K153="ERREUR",L153="ERREUR",M153="ERREUR",N153="ERREUR",O153="ERREUR",P153="ERREUR",Q153="ERREUR"),"ERREUR",IF(AND(K153="",L153="",M153="",N153="",O153="",P153="",Q153=""),"ligne vide",IF(OR(K153="",L153="",M153="",N153="",O153="",P153="",Q153=""),"ligne incomplète","Valide")))</f>
        <v xml:space="preserve">ligne vide</v>
      </c>
      <c r="K153" s="48" t="str">
        <f>IF(ISBLANK(B153),IF(ISBLANK(B154),T(B153),"ERREUR"),IF(ISNUMBER(B153),_xlfn.NUMBERVALUE(B153),IF(ISTEXT(B153),VALUE(B153),"ERREUR")))</f>
        <v/>
      </c>
      <c r="L153" s="38" t="str">
        <f>IF(COUNTIF($R$4:$R$6,C153)&gt;0,C153,IF(ISBLANK(C153),IF(ISBLANK(D153),T(C153),"ERREUR"),"ERREUR"))</f>
        <v/>
      </c>
      <c r="M153" s="49" t="str">
        <f>IF(ISBLANK(D153),IF(ISBLANK(D154),T(D153),"ERREUR"),IF(COUNTIF($T$4:$T$240,SUBSTITUTE(SUBSTITUTE(SUBSTITUTE(SUBSTITUTE(SUBSTITUTE(SUBSTITUTE(UPPER(D153),"Å","A"),"É","E"),"È","E"),"Ê","E"),"Î","I"),"Ï","I"))&gt;0,D153,IF(ISBLANK(D153),T(D153),"ERREUR")))</f>
        <v/>
      </c>
      <c r="N153" s="38" t="str">
        <f>IF(COUNTIF($V$4:$V$6,E153)&gt;0,E153,IF(ISBLANK(E153),IF(ISBLANK(E154),T(E153),"ERREUR"),"ERREUR"))</f>
        <v/>
      </c>
      <c r="O153" s="38" t="str">
        <f>IF(COUNTIF($W$4:$W$5,F153)&gt;0,F153,IF(ISBLANK(F153),IF(ISBLANK(F154),T(F153),"ERREUR"),"ERREUR"))</f>
        <v/>
      </c>
      <c r="P153" s="38" t="str">
        <f>IF(COUNTIF($X$4:$X$8,G153)&gt;0,G153,IF(ISBLANK(G153),IF(ISBLANK(G154),T(G153),"ERREUR"),"ERREUR"))</f>
        <v/>
      </c>
      <c r="Q153" s="38" t="str">
        <f>IF(ISNUMBER(H153),IF(INT(H153)=H153,H153,"ERREUR"),IF(ISBLANK(H153),IF(ISBLANK(H154),T(H153),"ERREUR"),"ERREUR"))</f>
        <v/>
      </c>
      <c r="R153" s="38"/>
      <c r="S153" s="1" t="s">
        <v>347</v>
      </c>
      <c r="T153" s="39" t="s">
        <v>348</v>
      </c>
      <c r="U153" s="38" t="str">
        <f>SUBSTITUTE(SUBSTITUTE(SUBSTITUTE(SUBSTITUTE(SUBSTITUTE(SUBSTITUTE(SUBSTITUTE(SUBSTITUTE(UPPER(S153),"Å","A"),"É","E"),"È","E"),"Ê","E"),"Ë","E"),"Î","I"),"Ï","I"),"Ô","O")</f>
        <v>MONTSERRAT</v>
      </c>
      <c r="V153" s="38"/>
      <c r="W153" s="38"/>
      <c r="X153" s="53"/>
      <c r="Y153" s="42"/>
      <c r="Z153" s="42"/>
      <c r="AA153" s="42"/>
    </row>
    <row r="154" ht="13.75" customHeight="1">
      <c r="A154" s="14" t="s">
        <v>140</v>
      </c>
      <c r="B154" s="50"/>
      <c r="C154" s="43"/>
      <c r="D154" s="43"/>
      <c r="E154" s="44"/>
      <c r="F154" s="44"/>
      <c r="G154" s="44"/>
      <c r="H154" s="45"/>
      <c r="I154" s="54"/>
      <c r="J154" s="47" t="str">
        <f>IF(OR(K154="ERREUR",L154="ERREUR",M154="ERREUR",N154="ERREUR",O154="ERREUR",P154="ERREUR",Q154="ERREUR"),"ERREUR",IF(AND(K154="",L154="",M154="",N154="",O154="",P154="",Q154=""),"ligne vide",IF(OR(K154="",L154="",M154="",N154="",O154="",P154="",Q154=""),"ligne incomplète","Valide")))</f>
        <v xml:space="preserve">ligne vide</v>
      </c>
      <c r="K154" s="48" t="str">
        <f>IF(ISBLANK(B154),IF(ISBLANK(B155),T(B154),"ERREUR"),IF(ISNUMBER(B154),_xlfn.NUMBERVALUE(B154),IF(ISTEXT(B154),VALUE(B154),"ERREUR")))</f>
        <v/>
      </c>
      <c r="L154" s="38" t="str">
        <f>IF(COUNTIF($R$4:$R$6,C154)&gt;0,C154,IF(ISBLANK(C154),IF(ISBLANK(D154),T(C154),"ERREUR"),"ERREUR"))</f>
        <v/>
      </c>
      <c r="M154" s="49" t="str">
        <f>IF(ISBLANK(D154),IF(ISBLANK(D155),T(D154),"ERREUR"),IF(COUNTIF($T$4:$T$240,SUBSTITUTE(SUBSTITUTE(SUBSTITUTE(SUBSTITUTE(SUBSTITUTE(SUBSTITUTE(UPPER(D154),"Å","A"),"É","E"),"È","E"),"Ê","E"),"Î","I"),"Ï","I"))&gt;0,D154,IF(ISBLANK(D154),T(D154),"ERREUR")))</f>
        <v/>
      </c>
      <c r="N154" s="38" t="str">
        <f>IF(COUNTIF($V$4:$V$6,E154)&gt;0,E154,IF(ISBLANK(E154),IF(ISBLANK(E155),T(E154),"ERREUR"),"ERREUR"))</f>
        <v/>
      </c>
      <c r="O154" s="38" t="str">
        <f>IF(COUNTIF($W$4:$W$5,F154)&gt;0,F154,IF(ISBLANK(F154),IF(ISBLANK(F155),T(F154),"ERREUR"),"ERREUR"))</f>
        <v/>
      </c>
      <c r="P154" s="38" t="str">
        <f>IF(COUNTIF($X$4:$X$8,G154)&gt;0,G154,IF(ISBLANK(G154),IF(ISBLANK(G155),T(G154),"ERREUR"),"ERREUR"))</f>
        <v/>
      </c>
      <c r="Q154" s="38" t="str">
        <f>IF(ISNUMBER(H154),IF(INT(H154)=H154,H154,"ERREUR"),IF(ISBLANK(H154),IF(ISBLANK(H155),T(H154),"ERREUR"),"ERREUR"))</f>
        <v/>
      </c>
      <c r="R154" s="38"/>
      <c r="S154" s="1" t="s">
        <v>349</v>
      </c>
      <c r="T154" s="39" t="s">
        <v>350</v>
      </c>
      <c r="U154" s="38" t="str">
        <f>SUBSTITUTE(SUBSTITUTE(SUBSTITUTE(SUBSTITUTE(SUBSTITUTE(SUBSTITUTE(SUBSTITUTE(SUBSTITUTE(UPPER(S154),"Å","A"),"É","E"),"È","E"),"Ê","E"),"Ë","E"),"Î","I"),"Ï","I"),"Ô","O")</f>
        <v>MOZAMBIQUE</v>
      </c>
      <c r="V154" s="38"/>
      <c r="W154" s="38"/>
      <c r="X154" s="53"/>
      <c r="Y154" s="42"/>
      <c r="Z154" s="42"/>
      <c r="AA154" s="42"/>
    </row>
    <row r="155" ht="13.75" customHeight="1">
      <c r="A155" s="14" t="s">
        <v>140</v>
      </c>
      <c r="B155" s="50"/>
      <c r="C155" s="43"/>
      <c r="D155" s="43"/>
      <c r="E155" s="44"/>
      <c r="F155" s="44"/>
      <c r="G155" s="44"/>
      <c r="H155" s="45"/>
      <c r="I155" s="54"/>
      <c r="J155" s="47" t="str">
        <f>IF(OR(K155="ERREUR",L155="ERREUR",M155="ERREUR",N155="ERREUR",O155="ERREUR",P155="ERREUR",Q155="ERREUR"),"ERREUR",IF(AND(K155="",L155="",M155="",N155="",O155="",P155="",Q155=""),"ligne vide",IF(OR(K155="",L155="",M155="",N155="",O155="",P155="",Q155=""),"ligne incomplète","Valide")))</f>
        <v xml:space="preserve">ligne vide</v>
      </c>
      <c r="K155" s="48" t="str">
        <f>IF(ISBLANK(B155),IF(ISBLANK(B156),T(B155),"ERREUR"),IF(ISNUMBER(B155),_xlfn.NUMBERVALUE(B155),IF(ISTEXT(B155),VALUE(B155),"ERREUR")))</f>
        <v/>
      </c>
      <c r="L155" s="38" t="str">
        <f>IF(COUNTIF($R$4:$R$6,C155)&gt;0,C155,IF(ISBLANK(C155),IF(ISBLANK(D155),T(C155),"ERREUR"),"ERREUR"))</f>
        <v/>
      </c>
      <c r="M155" s="49" t="str">
        <f>IF(ISBLANK(D155),IF(ISBLANK(D156),T(D155),"ERREUR"),IF(COUNTIF($T$4:$T$240,SUBSTITUTE(SUBSTITUTE(SUBSTITUTE(SUBSTITUTE(SUBSTITUTE(SUBSTITUTE(UPPER(D155),"Å","A"),"É","E"),"È","E"),"Ê","E"),"Î","I"),"Ï","I"))&gt;0,D155,IF(ISBLANK(D155),T(D155),"ERREUR")))</f>
        <v/>
      </c>
      <c r="N155" s="38" t="str">
        <f>IF(COUNTIF($V$4:$V$6,E155)&gt;0,E155,IF(ISBLANK(E155),IF(ISBLANK(E156),T(E155),"ERREUR"),"ERREUR"))</f>
        <v/>
      </c>
      <c r="O155" s="38" t="str">
        <f>IF(COUNTIF($W$4:$W$5,F155)&gt;0,F155,IF(ISBLANK(F155),IF(ISBLANK(F156),T(F155),"ERREUR"),"ERREUR"))</f>
        <v/>
      </c>
      <c r="P155" s="38" t="str">
        <f>IF(COUNTIF($X$4:$X$8,G155)&gt;0,G155,IF(ISBLANK(G155),IF(ISBLANK(G156),T(G155),"ERREUR"),"ERREUR"))</f>
        <v/>
      </c>
      <c r="Q155" s="38" t="str">
        <f>IF(ISNUMBER(H155),IF(INT(H155)=H155,H155,"ERREUR"),IF(ISBLANK(H155),IF(ISBLANK(H156),T(H155),"ERREUR"),"ERREUR"))</f>
        <v/>
      </c>
      <c r="R155" s="38"/>
      <c r="S155" s="1" t="s">
        <v>351</v>
      </c>
      <c r="T155" s="39" t="s">
        <v>352</v>
      </c>
      <c r="U155" s="38" t="str">
        <f>SUBSTITUTE(SUBSTITUTE(SUBSTITUTE(SUBSTITUTE(SUBSTITUTE(SUBSTITUTE(SUBSTITUTE(SUBSTITUTE(UPPER(S155),"Å","A"),"É","E"),"È","E"),"Ê","E"),"Ë","E"),"Î","I"),"Ï","I"),"Ô","O")</f>
        <v>NAMIBIE</v>
      </c>
      <c r="V155" s="38"/>
      <c r="W155" s="38"/>
      <c r="X155" s="53"/>
      <c r="Y155" s="42"/>
      <c r="Z155" s="42"/>
      <c r="AA155" s="42"/>
    </row>
    <row r="156" ht="13.75" customHeight="1">
      <c r="A156" s="14" t="s">
        <v>140</v>
      </c>
      <c r="B156" s="50"/>
      <c r="C156" s="43"/>
      <c r="D156" s="43"/>
      <c r="E156" s="44"/>
      <c r="F156" s="44"/>
      <c r="G156" s="44"/>
      <c r="H156" s="45"/>
      <c r="I156" s="54"/>
      <c r="J156" s="47" t="str">
        <f>IF(OR(K156="ERREUR",L156="ERREUR",M156="ERREUR",N156="ERREUR",O156="ERREUR",P156="ERREUR",Q156="ERREUR"),"ERREUR",IF(AND(K156="",L156="",M156="",N156="",O156="",P156="",Q156=""),"ligne vide",IF(OR(K156="",L156="",M156="",N156="",O156="",P156="",Q156=""),"ligne incomplète","Valide")))</f>
        <v xml:space="preserve">ligne vide</v>
      </c>
      <c r="K156" s="48" t="str">
        <f>IF(ISBLANK(B156),IF(ISBLANK(B157),T(B156),"ERREUR"),IF(ISNUMBER(B156),_xlfn.NUMBERVALUE(B156),IF(ISTEXT(B156),VALUE(B156),"ERREUR")))</f>
        <v/>
      </c>
      <c r="L156" s="38" t="str">
        <f>IF(COUNTIF($R$4:$R$6,C156)&gt;0,C156,IF(ISBLANK(C156),IF(ISBLANK(D156),T(C156),"ERREUR"),"ERREUR"))</f>
        <v/>
      </c>
      <c r="M156" s="49" t="str">
        <f>IF(ISBLANK(D156),IF(ISBLANK(D157),T(D156),"ERREUR"),IF(COUNTIF($T$4:$T$240,SUBSTITUTE(SUBSTITUTE(SUBSTITUTE(SUBSTITUTE(SUBSTITUTE(SUBSTITUTE(UPPER(D156),"Å","A"),"É","E"),"È","E"),"Ê","E"),"Î","I"),"Ï","I"))&gt;0,D156,IF(ISBLANK(D156),T(D156),"ERREUR")))</f>
        <v/>
      </c>
      <c r="N156" s="38" t="str">
        <f>IF(COUNTIF($V$4:$V$6,E156)&gt;0,E156,IF(ISBLANK(E156),IF(ISBLANK(E157),T(E156),"ERREUR"),"ERREUR"))</f>
        <v/>
      </c>
      <c r="O156" s="38" t="str">
        <f>IF(COUNTIF($W$4:$W$5,F156)&gt;0,F156,IF(ISBLANK(F156),IF(ISBLANK(F157),T(F156),"ERREUR"),"ERREUR"))</f>
        <v/>
      </c>
      <c r="P156" s="38" t="str">
        <f>IF(COUNTIF($X$4:$X$8,G156)&gt;0,G156,IF(ISBLANK(G156),IF(ISBLANK(G157),T(G156),"ERREUR"),"ERREUR"))</f>
        <v/>
      </c>
      <c r="Q156" s="38" t="str">
        <f>IF(ISNUMBER(H156),IF(INT(H156)=H156,H156,"ERREUR"),IF(ISBLANK(H156),IF(ISBLANK(H157),T(H156),"ERREUR"),"ERREUR"))</f>
        <v/>
      </c>
      <c r="R156" s="38"/>
      <c r="S156" s="1" t="s">
        <v>353</v>
      </c>
      <c r="T156" s="39" t="s">
        <v>354</v>
      </c>
      <c r="U156" s="38" t="str">
        <f>SUBSTITUTE(SUBSTITUTE(SUBSTITUTE(SUBSTITUTE(SUBSTITUTE(SUBSTITUTE(SUBSTITUTE(SUBSTITUTE(UPPER(S156),"Å","A"),"É","E"),"È","E"),"Ê","E"),"Ë","E"),"Î","I"),"Ï","I"),"Ô","O")</f>
        <v>NAURU</v>
      </c>
      <c r="V156" s="38"/>
      <c r="W156" s="38"/>
      <c r="X156" s="53"/>
      <c r="Y156" s="42"/>
      <c r="Z156" s="42"/>
      <c r="AA156" s="42"/>
    </row>
    <row r="157" ht="13.75" customHeight="1">
      <c r="A157" s="14" t="s">
        <v>140</v>
      </c>
      <c r="B157" s="50"/>
      <c r="C157" s="43"/>
      <c r="D157" s="43"/>
      <c r="E157" s="44"/>
      <c r="F157" s="44"/>
      <c r="G157" s="44"/>
      <c r="H157" s="45"/>
      <c r="I157" s="54"/>
      <c r="J157" s="47" t="str">
        <f>IF(OR(K157="ERREUR",L157="ERREUR",M157="ERREUR",N157="ERREUR",O157="ERREUR",P157="ERREUR",Q157="ERREUR"),"ERREUR",IF(AND(K157="",L157="",M157="",N157="",O157="",P157="",Q157=""),"ligne vide",IF(OR(K157="",L157="",M157="",N157="",O157="",P157="",Q157=""),"ligne incomplète","Valide")))</f>
        <v xml:space="preserve">ligne vide</v>
      </c>
      <c r="K157" s="48" t="str">
        <f>IF(ISBLANK(B157),IF(ISBLANK(B158),T(B157),"ERREUR"),IF(ISNUMBER(B157),_xlfn.NUMBERVALUE(B157),IF(ISTEXT(B157),VALUE(B157),"ERREUR")))</f>
        <v/>
      </c>
      <c r="L157" s="38" t="str">
        <f>IF(COUNTIF($R$4:$R$6,C157)&gt;0,C157,IF(ISBLANK(C157),IF(ISBLANK(D157),T(C157),"ERREUR"),"ERREUR"))</f>
        <v/>
      </c>
      <c r="M157" s="49" t="str">
        <f>IF(ISBLANK(D157),IF(ISBLANK(D158),T(D157),"ERREUR"),IF(COUNTIF($T$4:$T$240,SUBSTITUTE(SUBSTITUTE(SUBSTITUTE(SUBSTITUTE(SUBSTITUTE(SUBSTITUTE(UPPER(D157),"Å","A"),"É","E"),"È","E"),"Ê","E"),"Î","I"),"Ï","I"))&gt;0,D157,IF(ISBLANK(D157),T(D157),"ERREUR")))</f>
        <v/>
      </c>
      <c r="N157" s="38" t="str">
        <f>IF(COUNTIF($V$4:$V$6,E157)&gt;0,E157,IF(ISBLANK(E157),IF(ISBLANK(E158),T(E157),"ERREUR"),"ERREUR"))</f>
        <v/>
      </c>
      <c r="O157" s="38" t="str">
        <f>IF(COUNTIF($W$4:$W$5,F157)&gt;0,F157,IF(ISBLANK(F157),IF(ISBLANK(F158),T(F157),"ERREUR"),"ERREUR"))</f>
        <v/>
      </c>
      <c r="P157" s="38" t="str">
        <f>IF(COUNTIF($X$4:$X$8,G157)&gt;0,G157,IF(ISBLANK(G157),IF(ISBLANK(G158),T(G157),"ERREUR"),"ERREUR"))</f>
        <v/>
      </c>
      <c r="Q157" s="38" t="str">
        <f>IF(ISNUMBER(H157),IF(INT(H157)=H157,H157,"ERREUR"),IF(ISBLANK(H157),IF(ISBLANK(H158),T(H157),"ERREUR"),"ERREUR"))</f>
        <v/>
      </c>
      <c r="R157" s="38"/>
      <c r="S157" s="1" t="s">
        <v>355</v>
      </c>
      <c r="T157" s="39" t="s">
        <v>356</v>
      </c>
      <c r="U157" s="38" t="str">
        <f>SUBSTITUTE(SUBSTITUTE(SUBSTITUTE(SUBSTITUTE(SUBSTITUTE(SUBSTITUTE(SUBSTITUTE(SUBSTITUTE(UPPER(S157),"Å","A"),"É","E"),"È","E"),"Ê","E"),"Ë","E"),"Î","I"),"Ï","I"),"Ô","O")</f>
        <v>NEPAL</v>
      </c>
      <c r="V157" s="38"/>
      <c r="W157" s="38"/>
      <c r="X157" s="53"/>
      <c r="Y157" s="42"/>
      <c r="Z157" s="42"/>
      <c r="AA157" s="42"/>
    </row>
    <row r="158" ht="13.75" customHeight="1">
      <c r="A158" s="14" t="s">
        <v>140</v>
      </c>
      <c r="B158" s="50"/>
      <c r="C158" s="43"/>
      <c r="D158" s="43"/>
      <c r="E158" s="44"/>
      <c r="F158" s="44"/>
      <c r="G158" s="44"/>
      <c r="H158" s="45"/>
      <c r="I158" s="54"/>
      <c r="J158" s="47" t="str">
        <f>IF(OR(K158="ERREUR",L158="ERREUR",M158="ERREUR",N158="ERREUR",O158="ERREUR",P158="ERREUR",Q158="ERREUR"),"ERREUR",IF(AND(K158="",L158="",M158="",N158="",O158="",P158="",Q158=""),"ligne vide",IF(OR(K158="",L158="",M158="",N158="",O158="",P158="",Q158=""),"ligne incomplète","Valide")))</f>
        <v xml:space="preserve">ligne vide</v>
      </c>
      <c r="K158" s="48" t="str">
        <f>IF(ISBLANK(B158),IF(ISBLANK(B159),T(B158),"ERREUR"),IF(ISNUMBER(B158),_xlfn.NUMBERVALUE(B158),IF(ISTEXT(B158),VALUE(B158),"ERREUR")))</f>
        <v/>
      </c>
      <c r="L158" s="38" t="str">
        <f>IF(COUNTIF($R$4:$R$6,C158)&gt;0,C158,IF(ISBLANK(C158),IF(ISBLANK(D158),T(C158),"ERREUR"),"ERREUR"))</f>
        <v/>
      </c>
      <c r="M158" s="49" t="str">
        <f>IF(ISBLANK(D158),IF(ISBLANK(D159),T(D158),"ERREUR"),IF(COUNTIF($T$4:$T$240,SUBSTITUTE(SUBSTITUTE(SUBSTITUTE(SUBSTITUTE(SUBSTITUTE(SUBSTITUTE(UPPER(D158),"Å","A"),"É","E"),"È","E"),"Ê","E"),"Î","I"),"Ï","I"))&gt;0,D158,IF(ISBLANK(D158),T(D158),"ERREUR")))</f>
        <v/>
      </c>
      <c r="N158" s="38" t="str">
        <f>IF(COUNTIF($V$4:$V$6,E158)&gt;0,E158,IF(ISBLANK(E158),IF(ISBLANK(E159),T(E158),"ERREUR"),"ERREUR"))</f>
        <v/>
      </c>
      <c r="O158" s="38" t="str">
        <f>IF(COUNTIF($W$4:$W$5,F158)&gt;0,F158,IF(ISBLANK(F158),IF(ISBLANK(F159),T(F158),"ERREUR"),"ERREUR"))</f>
        <v/>
      </c>
      <c r="P158" s="38" t="str">
        <f>IF(COUNTIF($X$4:$X$8,G158)&gt;0,G158,IF(ISBLANK(G158),IF(ISBLANK(G159),T(G158),"ERREUR"),"ERREUR"))</f>
        <v/>
      </c>
      <c r="Q158" s="38" t="str">
        <f>IF(ISNUMBER(H158),IF(INT(H158)=H158,H158,"ERREUR"),IF(ISBLANK(H158),IF(ISBLANK(H159),T(H158),"ERREUR"),"ERREUR"))</f>
        <v/>
      </c>
      <c r="R158" s="38"/>
      <c r="S158" s="1" t="s">
        <v>357</v>
      </c>
      <c r="T158" s="39" t="s">
        <v>358</v>
      </c>
      <c r="U158" s="38" t="str">
        <f>SUBSTITUTE(SUBSTITUTE(SUBSTITUTE(SUBSTITUTE(SUBSTITUTE(SUBSTITUTE(SUBSTITUTE(SUBSTITUTE(UPPER(S158),"Å","A"),"É","E"),"È","E"),"Ê","E"),"Ë","E"),"Î","I"),"Ï","I"),"Ô","O")</f>
        <v>NICARAGUA</v>
      </c>
      <c r="V158" s="38"/>
      <c r="W158" s="38"/>
      <c r="X158" s="53"/>
      <c r="Y158" s="42"/>
      <c r="Z158" s="42"/>
      <c r="AA158" s="42"/>
    </row>
    <row r="159" ht="13.75" customHeight="1">
      <c r="A159" s="14" t="s">
        <v>140</v>
      </c>
      <c r="B159" s="50"/>
      <c r="C159" s="43"/>
      <c r="D159" s="43"/>
      <c r="E159" s="44"/>
      <c r="F159" s="44"/>
      <c r="G159" s="44"/>
      <c r="H159" s="45"/>
      <c r="I159" s="54"/>
      <c r="J159" s="47" t="str">
        <f>IF(OR(K159="ERREUR",L159="ERREUR",M159="ERREUR",N159="ERREUR",O159="ERREUR",P159="ERREUR",Q159="ERREUR"),"ERREUR",IF(AND(K159="",L159="",M159="",N159="",O159="",P159="",Q159=""),"ligne vide",IF(OR(K159="",L159="",M159="",N159="",O159="",P159="",Q159=""),"ligne incomplète","Valide")))</f>
        <v xml:space="preserve">ligne vide</v>
      </c>
      <c r="K159" s="48" t="str">
        <f>IF(ISBLANK(B159),IF(ISBLANK(B160),T(B159),"ERREUR"),IF(ISNUMBER(B159),_xlfn.NUMBERVALUE(B159),IF(ISTEXT(B159),VALUE(B159),"ERREUR")))</f>
        <v/>
      </c>
      <c r="L159" s="38" t="str">
        <f>IF(COUNTIF($R$4:$R$6,C159)&gt;0,C159,IF(ISBLANK(C159),IF(ISBLANK(D159),T(C159),"ERREUR"),"ERREUR"))</f>
        <v/>
      </c>
      <c r="M159" s="49" t="str">
        <f>IF(ISBLANK(D159),IF(ISBLANK(D160),T(D159),"ERREUR"),IF(COUNTIF($T$4:$T$240,SUBSTITUTE(SUBSTITUTE(SUBSTITUTE(SUBSTITUTE(SUBSTITUTE(SUBSTITUTE(UPPER(D159),"Å","A"),"É","E"),"È","E"),"Ê","E"),"Î","I"),"Ï","I"))&gt;0,D159,IF(ISBLANK(D159),T(D159),"ERREUR")))</f>
        <v/>
      </c>
      <c r="N159" s="38" t="str">
        <f>IF(COUNTIF($V$4:$V$6,E159)&gt;0,E159,IF(ISBLANK(E159),IF(ISBLANK(E160),T(E159),"ERREUR"),"ERREUR"))</f>
        <v/>
      </c>
      <c r="O159" s="38" t="str">
        <f>IF(COUNTIF($W$4:$W$5,F159)&gt;0,F159,IF(ISBLANK(F159),IF(ISBLANK(F160),T(F159),"ERREUR"),"ERREUR"))</f>
        <v/>
      </c>
      <c r="P159" s="38" t="str">
        <f>IF(COUNTIF($X$4:$X$8,G159)&gt;0,G159,IF(ISBLANK(G159),IF(ISBLANK(G160),T(G159),"ERREUR"),"ERREUR"))</f>
        <v/>
      </c>
      <c r="Q159" s="38" t="str">
        <f>IF(ISNUMBER(H159),IF(INT(H159)=H159,H159,"ERREUR"),IF(ISBLANK(H159),IF(ISBLANK(H160),T(H159),"ERREUR"),"ERREUR"))</f>
        <v/>
      </c>
      <c r="R159" s="38"/>
      <c r="S159" s="1" t="s">
        <v>359</v>
      </c>
      <c r="T159" s="39" t="s">
        <v>360</v>
      </c>
      <c r="U159" s="38" t="str">
        <f>SUBSTITUTE(SUBSTITUTE(SUBSTITUTE(SUBSTITUTE(SUBSTITUTE(SUBSTITUTE(SUBSTITUTE(SUBSTITUTE(UPPER(S159),"Å","A"),"É","E"),"È","E"),"Ê","E"),"Ë","E"),"Î","I"),"Ï","I"),"Ô","O")</f>
        <v>NIGER</v>
      </c>
      <c r="V159" s="38"/>
      <c r="W159" s="38"/>
      <c r="X159" s="53"/>
      <c r="Y159" s="42"/>
      <c r="Z159" s="42"/>
      <c r="AA159" s="42"/>
    </row>
    <row r="160" ht="13.75" customHeight="1">
      <c r="A160" s="14" t="s">
        <v>140</v>
      </c>
      <c r="B160" s="50"/>
      <c r="C160" s="43"/>
      <c r="D160" s="43"/>
      <c r="E160" s="44"/>
      <c r="F160" s="44"/>
      <c r="G160" s="44"/>
      <c r="H160" s="45"/>
      <c r="I160" s="54"/>
      <c r="J160" s="47" t="str">
        <f>IF(OR(K160="ERREUR",L160="ERREUR",M160="ERREUR",N160="ERREUR",O160="ERREUR",P160="ERREUR",Q160="ERREUR"),"ERREUR",IF(AND(K160="",L160="",M160="",N160="",O160="",P160="",Q160=""),"ligne vide",IF(OR(K160="",L160="",M160="",N160="",O160="",P160="",Q160=""),"ligne incomplète","Valide")))</f>
        <v xml:space="preserve">ligne vide</v>
      </c>
      <c r="K160" s="48" t="str">
        <f>IF(ISBLANK(B160),IF(ISBLANK(B161),T(B160),"ERREUR"),IF(ISNUMBER(B160),_xlfn.NUMBERVALUE(B160),IF(ISTEXT(B160),VALUE(B160),"ERREUR")))</f>
        <v/>
      </c>
      <c r="L160" s="38" t="str">
        <f>IF(COUNTIF($R$4:$R$6,C160)&gt;0,C160,IF(ISBLANK(C160),IF(ISBLANK(D160),T(C160),"ERREUR"),"ERREUR"))</f>
        <v/>
      </c>
      <c r="M160" s="49" t="str">
        <f>IF(ISBLANK(D160),IF(ISBLANK(D161),T(D160),"ERREUR"),IF(COUNTIF($T$4:$T$240,SUBSTITUTE(SUBSTITUTE(SUBSTITUTE(SUBSTITUTE(SUBSTITUTE(SUBSTITUTE(UPPER(D160),"Å","A"),"É","E"),"È","E"),"Ê","E"),"Î","I"),"Ï","I"))&gt;0,D160,IF(ISBLANK(D160),T(D160),"ERREUR")))</f>
        <v/>
      </c>
      <c r="N160" s="38" t="str">
        <f>IF(COUNTIF($V$4:$V$6,E160)&gt;0,E160,IF(ISBLANK(E160),IF(ISBLANK(E161),T(E160),"ERREUR"),"ERREUR"))</f>
        <v/>
      </c>
      <c r="O160" s="38" t="str">
        <f>IF(COUNTIF($W$4:$W$5,F160)&gt;0,F160,IF(ISBLANK(F160),IF(ISBLANK(F161),T(F160),"ERREUR"),"ERREUR"))</f>
        <v/>
      </c>
      <c r="P160" s="38" t="str">
        <f>IF(COUNTIF($X$4:$X$8,G160)&gt;0,G160,IF(ISBLANK(G160),IF(ISBLANK(G161),T(G160),"ERREUR"),"ERREUR"))</f>
        <v/>
      </c>
      <c r="Q160" s="38" t="str">
        <f>IF(ISNUMBER(H160),IF(INT(H160)=H160,H160,"ERREUR"),IF(ISBLANK(H160),IF(ISBLANK(H161),T(H160),"ERREUR"),"ERREUR"))</f>
        <v/>
      </c>
      <c r="R160" s="38"/>
      <c r="S160" s="1" t="s">
        <v>361</v>
      </c>
      <c r="T160" s="39" t="s">
        <v>362</v>
      </c>
      <c r="U160" s="38" t="str">
        <f>SUBSTITUTE(SUBSTITUTE(SUBSTITUTE(SUBSTITUTE(SUBSTITUTE(SUBSTITUTE(SUBSTITUTE(SUBSTITUTE(UPPER(S160),"Å","A"),"É","E"),"È","E"),"Ê","E"),"Ë","E"),"Î","I"),"Ï","I"),"Ô","O")</f>
        <v>NIGERIA</v>
      </c>
      <c r="V160" s="38"/>
      <c r="W160" s="38"/>
      <c r="X160" s="53"/>
      <c r="Y160" s="42"/>
      <c r="Z160" s="42"/>
      <c r="AA160" s="42"/>
    </row>
    <row r="161" ht="13.75" customHeight="1">
      <c r="A161" s="14" t="s">
        <v>140</v>
      </c>
      <c r="B161" s="50"/>
      <c r="C161" s="43"/>
      <c r="D161" s="43"/>
      <c r="E161" s="44"/>
      <c r="F161" s="44"/>
      <c r="G161" s="44"/>
      <c r="H161" s="45"/>
      <c r="I161" s="54"/>
      <c r="J161" s="47" t="str">
        <f>IF(OR(K161="ERREUR",L161="ERREUR",M161="ERREUR",N161="ERREUR",O161="ERREUR",P161="ERREUR",Q161="ERREUR"),"ERREUR",IF(AND(K161="",L161="",M161="",N161="",O161="",P161="",Q161=""),"ligne vide",IF(OR(K161="",L161="",M161="",N161="",O161="",P161="",Q161=""),"ligne incomplète","Valide")))</f>
        <v xml:space="preserve">ligne vide</v>
      </c>
      <c r="K161" s="48" t="str">
        <f>IF(ISBLANK(B161),IF(ISBLANK(B162),T(B161),"ERREUR"),IF(ISNUMBER(B161),_xlfn.NUMBERVALUE(B161),IF(ISTEXT(B161),VALUE(B161),"ERREUR")))</f>
        <v/>
      </c>
      <c r="L161" s="38" t="str">
        <f>IF(COUNTIF($R$4:$R$6,C161)&gt;0,C161,IF(ISBLANK(C161),IF(ISBLANK(D161),T(C161),"ERREUR"),"ERREUR"))</f>
        <v/>
      </c>
      <c r="M161" s="49" t="str">
        <f>IF(ISBLANK(D161),IF(ISBLANK(D162),T(D161),"ERREUR"),IF(COUNTIF($T$4:$T$240,SUBSTITUTE(SUBSTITUTE(SUBSTITUTE(SUBSTITUTE(SUBSTITUTE(SUBSTITUTE(UPPER(D161),"Å","A"),"É","E"),"È","E"),"Ê","E"),"Î","I"),"Ï","I"))&gt;0,D161,IF(ISBLANK(D161),T(D161),"ERREUR")))</f>
        <v/>
      </c>
      <c r="N161" s="38" t="str">
        <f>IF(COUNTIF($V$4:$V$6,E161)&gt;0,E161,IF(ISBLANK(E161),IF(ISBLANK(E162),T(E161),"ERREUR"),"ERREUR"))</f>
        <v/>
      </c>
      <c r="O161" s="38" t="str">
        <f>IF(COUNTIF($W$4:$W$5,F161)&gt;0,F161,IF(ISBLANK(F161),IF(ISBLANK(F162),T(F161),"ERREUR"),"ERREUR"))</f>
        <v/>
      </c>
      <c r="P161" s="38" t="str">
        <f>IF(COUNTIF($X$4:$X$8,G161)&gt;0,G161,IF(ISBLANK(G161),IF(ISBLANK(G162),T(G161),"ERREUR"),"ERREUR"))</f>
        <v/>
      </c>
      <c r="Q161" s="38" t="str">
        <f>IF(ISNUMBER(H161),IF(INT(H161)=H161,H161,"ERREUR"),IF(ISBLANK(H161),IF(ISBLANK(H162),T(H161),"ERREUR"),"ERREUR"))</f>
        <v/>
      </c>
      <c r="R161" s="38"/>
      <c r="S161" s="1" t="s">
        <v>363</v>
      </c>
      <c r="T161" s="39" t="s">
        <v>364</v>
      </c>
      <c r="U161" s="38" t="str">
        <f>SUBSTITUTE(SUBSTITUTE(SUBSTITUTE(SUBSTITUTE(SUBSTITUTE(SUBSTITUTE(SUBSTITUTE(SUBSTITUTE(UPPER(S161),"Å","A"),"É","E"),"È","E"),"Ê","E"),"Ë","E"),"Î","I"),"Ï","I"),"Ô","O")</f>
        <v>NIOUE</v>
      </c>
      <c r="V161" s="38"/>
      <c r="W161" s="38"/>
      <c r="X161" s="53"/>
      <c r="Y161" s="42"/>
      <c r="Z161" s="42"/>
      <c r="AA161" s="42"/>
    </row>
    <row r="162" ht="13.75" customHeight="1">
      <c r="A162" s="14" t="s">
        <v>140</v>
      </c>
      <c r="B162" s="50"/>
      <c r="C162" s="43"/>
      <c r="D162" s="43"/>
      <c r="E162" s="44"/>
      <c r="F162" s="44"/>
      <c r="G162" s="44"/>
      <c r="H162" s="45"/>
      <c r="I162" s="54"/>
      <c r="J162" s="47" t="str">
        <f>IF(OR(K162="ERREUR",L162="ERREUR",M162="ERREUR",N162="ERREUR",O162="ERREUR",P162="ERREUR",Q162="ERREUR"),"ERREUR",IF(AND(K162="",L162="",M162="",N162="",O162="",P162="",Q162=""),"ligne vide",IF(OR(K162="",L162="",M162="",N162="",O162="",P162="",Q162=""),"ligne incomplète","Valide")))</f>
        <v xml:space="preserve">ligne vide</v>
      </c>
      <c r="K162" s="48" t="str">
        <f>IF(ISBLANK(B162),IF(ISBLANK(B163),T(B162),"ERREUR"),IF(ISNUMBER(B162),_xlfn.NUMBERVALUE(B162),IF(ISTEXT(B162),VALUE(B162),"ERREUR")))</f>
        <v/>
      </c>
      <c r="L162" s="38" t="str">
        <f>IF(COUNTIF($R$4:$R$6,C162)&gt;0,C162,IF(ISBLANK(C162),IF(ISBLANK(D162),T(C162),"ERREUR"),"ERREUR"))</f>
        <v/>
      </c>
      <c r="M162" s="49" t="str">
        <f>IF(ISBLANK(D162),IF(ISBLANK(D163),T(D162),"ERREUR"),IF(COUNTIF($T$4:$T$240,SUBSTITUTE(SUBSTITUTE(SUBSTITUTE(SUBSTITUTE(SUBSTITUTE(SUBSTITUTE(UPPER(D162),"Å","A"),"É","E"),"È","E"),"Ê","E"),"Î","I"),"Ï","I"))&gt;0,D162,IF(ISBLANK(D162),T(D162),"ERREUR")))</f>
        <v/>
      </c>
      <c r="N162" s="38" t="str">
        <f>IF(COUNTIF($V$4:$V$6,E162)&gt;0,E162,IF(ISBLANK(E162),IF(ISBLANK(E163),T(E162),"ERREUR"),"ERREUR"))</f>
        <v/>
      </c>
      <c r="O162" s="38" t="str">
        <f>IF(COUNTIF($W$4:$W$5,F162)&gt;0,F162,IF(ISBLANK(F162),IF(ISBLANK(F163),T(F162),"ERREUR"),"ERREUR"))</f>
        <v/>
      </c>
      <c r="P162" s="38" t="str">
        <f>IF(COUNTIF($X$4:$X$8,G162)&gt;0,G162,IF(ISBLANK(G162),IF(ISBLANK(G163),T(G162),"ERREUR"),"ERREUR"))</f>
        <v/>
      </c>
      <c r="Q162" s="38" t="str">
        <f>IF(ISNUMBER(H162),IF(INT(H162)=H162,H162,"ERREUR"),IF(ISBLANK(H162),IF(ISBLANK(H163),T(H162),"ERREUR"),"ERREUR"))</f>
        <v/>
      </c>
      <c r="R162" s="38"/>
      <c r="S162" s="1" t="s">
        <v>365</v>
      </c>
      <c r="T162" s="39" t="s">
        <v>366</v>
      </c>
      <c r="U162" s="38" t="str">
        <f>SUBSTITUTE(SUBSTITUTE(SUBSTITUTE(SUBSTITUTE(SUBSTITUTE(SUBSTITUTE(SUBSTITUTE(SUBSTITUTE(UPPER(S162),"Å","A"),"É","E"),"È","E"),"Ê","E"),"Ë","E"),"Î","I"),"Ï","I"),"Ô","O")</f>
        <v>NORVEGE</v>
      </c>
      <c r="V162" s="38"/>
      <c r="W162" s="38"/>
      <c r="X162" s="53"/>
      <c r="Y162" s="42"/>
      <c r="Z162" s="42"/>
      <c r="AA162" s="42"/>
    </row>
    <row r="163" ht="13.75" customHeight="1">
      <c r="A163" s="14" t="s">
        <v>140</v>
      </c>
      <c r="B163" s="50"/>
      <c r="C163" s="43"/>
      <c r="D163" s="43"/>
      <c r="E163" s="44"/>
      <c r="F163" s="44"/>
      <c r="G163" s="44"/>
      <c r="H163" s="45"/>
      <c r="I163" s="54"/>
      <c r="J163" s="47" t="str">
        <f>IF(OR(K163="ERREUR",L163="ERREUR",M163="ERREUR",N163="ERREUR",O163="ERREUR",P163="ERREUR",Q163="ERREUR"),"ERREUR",IF(AND(K163="",L163="",M163="",N163="",O163="",P163="",Q163=""),"ligne vide",IF(OR(K163="",L163="",M163="",N163="",O163="",P163="",Q163=""),"ligne incomplète","Valide")))</f>
        <v xml:space="preserve">ligne vide</v>
      </c>
      <c r="K163" s="48" t="str">
        <f>IF(ISBLANK(B163),IF(ISBLANK(B164),T(B163),"ERREUR"),IF(ISNUMBER(B163),_xlfn.NUMBERVALUE(B163),IF(ISTEXT(B163),VALUE(B163),"ERREUR")))</f>
        <v/>
      </c>
      <c r="L163" s="38" t="str">
        <f>IF(COUNTIF($R$4:$R$6,C163)&gt;0,C163,IF(ISBLANK(C163),IF(ISBLANK(D163),T(C163),"ERREUR"),"ERREUR"))</f>
        <v/>
      </c>
      <c r="M163" s="49" t="str">
        <f>IF(ISBLANK(D163),IF(ISBLANK(D164),T(D163),"ERREUR"),IF(COUNTIF($T$4:$T$240,SUBSTITUTE(SUBSTITUTE(SUBSTITUTE(SUBSTITUTE(SUBSTITUTE(SUBSTITUTE(UPPER(D163),"Å","A"),"É","E"),"È","E"),"Ê","E"),"Î","I"),"Ï","I"))&gt;0,D163,IF(ISBLANK(D163),T(D163),"ERREUR")))</f>
        <v/>
      </c>
      <c r="N163" s="38" t="str">
        <f>IF(COUNTIF($V$4:$V$6,E163)&gt;0,E163,IF(ISBLANK(E163),IF(ISBLANK(E164),T(E163),"ERREUR"),"ERREUR"))</f>
        <v/>
      </c>
      <c r="O163" s="38" t="str">
        <f>IF(COUNTIF($W$4:$W$5,F163)&gt;0,F163,IF(ISBLANK(F163),IF(ISBLANK(F164),T(F163),"ERREUR"),"ERREUR"))</f>
        <v/>
      </c>
      <c r="P163" s="38" t="str">
        <f>IF(COUNTIF($X$4:$X$8,G163)&gt;0,G163,IF(ISBLANK(G163),IF(ISBLANK(G164),T(G163),"ERREUR"),"ERREUR"))</f>
        <v/>
      </c>
      <c r="Q163" s="38" t="str">
        <f>IF(ISNUMBER(H163),IF(INT(H163)=H163,H163,"ERREUR"),IF(ISBLANK(H163),IF(ISBLANK(H164),T(H163),"ERREUR"),"ERREUR"))</f>
        <v/>
      </c>
      <c r="R163" s="38"/>
      <c r="S163" s="1" t="s">
        <v>367</v>
      </c>
      <c r="T163" s="39" t="s">
        <v>368</v>
      </c>
      <c r="U163" s="38" t="str">
        <f>SUBSTITUTE(SUBSTITUTE(SUBSTITUTE(SUBSTITUTE(SUBSTITUTE(SUBSTITUTE(SUBSTITUTE(SUBSTITUTE(UPPER(S163),"Å","A"),"É","E"),"È","E"),"Ê","E"),"Ë","E"),"Î","I"),"Ï","I"),"Ô","O")</f>
        <v>NOUVELLE-ZELANDE</v>
      </c>
      <c r="V163" s="38"/>
      <c r="W163" s="38"/>
      <c r="X163" s="53"/>
      <c r="Y163" s="42"/>
      <c r="Z163" s="42"/>
      <c r="AA163" s="42"/>
    </row>
    <row r="164" ht="13.75" customHeight="1">
      <c r="A164" s="14" t="s">
        <v>140</v>
      </c>
      <c r="B164" s="50"/>
      <c r="C164" s="43"/>
      <c r="D164" s="43"/>
      <c r="E164" s="44"/>
      <c r="F164" s="44"/>
      <c r="G164" s="44"/>
      <c r="H164" s="45"/>
      <c r="I164" s="54"/>
      <c r="J164" s="47" t="str">
        <f>IF(OR(K164="ERREUR",L164="ERREUR",M164="ERREUR",N164="ERREUR",O164="ERREUR",P164="ERREUR",Q164="ERREUR"),"ERREUR",IF(AND(K164="",L164="",M164="",N164="",O164="",P164="",Q164=""),"ligne vide",IF(OR(K164="",L164="",M164="",N164="",O164="",P164="",Q164=""),"ligne incomplète","Valide")))</f>
        <v xml:space="preserve">ligne vide</v>
      </c>
      <c r="K164" s="48" t="str">
        <f>IF(ISBLANK(B164),IF(ISBLANK(B165),T(B164),"ERREUR"),IF(ISNUMBER(B164),_xlfn.NUMBERVALUE(B164),IF(ISTEXT(B164),VALUE(B164),"ERREUR")))</f>
        <v/>
      </c>
      <c r="L164" s="38" t="str">
        <f>IF(COUNTIF($R$4:$R$6,C164)&gt;0,C164,IF(ISBLANK(C164),IF(ISBLANK(D164),T(C164),"ERREUR"),"ERREUR"))</f>
        <v/>
      </c>
      <c r="M164" s="49" t="str">
        <f>IF(ISBLANK(D164),IF(ISBLANK(D165),T(D164),"ERREUR"),IF(COUNTIF($T$4:$T$240,SUBSTITUTE(SUBSTITUTE(SUBSTITUTE(SUBSTITUTE(SUBSTITUTE(SUBSTITUTE(UPPER(D164),"Å","A"),"É","E"),"È","E"),"Ê","E"),"Î","I"),"Ï","I"))&gt;0,D164,IF(ISBLANK(D164),T(D164),"ERREUR")))</f>
        <v/>
      </c>
      <c r="N164" s="38" t="str">
        <f>IF(COUNTIF($V$4:$V$6,E164)&gt;0,E164,IF(ISBLANK(E164),IF(ISBLANK(E165),T(E164),"ERREUR"),"ERREUR"))</f>
        <v/>
      </c>
      <c r="O164" s="38" t="str">
        <f>IF(COUNTIF($W$4:$W$5,F164)&gt;0,F164,IF(ISBLANK(F164),IF(ISBLANK(F165),T(F164),"ERREUR"),"ERREUR"))</f>
        <v/>
      </c>
      <c r="P164" s="38" t="str">
        <f>IF(COUNTIF($X$4:$X$8,G164)&gt;0,G164,IF(ISBLANK(G164),IF(ISBLANK(G165),T(G164),"ERREUR"),"ERREUR"))</f>
        <v/>
      </c>
      <c r="Q164" s="38" t="str">
        <f>IF(ISNUMBER(H164),IF(INT(H164)=H164,H164,"ERREUR"),IF(ISBLANK(H164),IF(ISBLANK(H165),T(H164),"ERREUR"),"ERREUR"))</f>
        <v/>
      </c>
      <c r="R164" s="38"/>
      <c r="S164" s="1" t="s">
        <v>369</v>
      </c>
      <c r="T164" s="39" t="s">
        <v>370</v>
      </c>
      <c r="U164" s="38" t="str">
        <f>SUBSTITUTE(SUBSTITUTE(SUBSTITUTE(SUBSTITUTE(SUBSTITUTE(SUBSTITUTE(SUBSTITUTE(SUBSTITUTE(UPPER(S164),"Å","A"),"É","E"),"È","E"),"Ê","E"),"Ë","E"),"Î","I"),"Ï","I"),"Ô","O")</f>
        <v>OMAN</v>
      </c>
      <c r="V164" s="38"/>
      <c r="W164" s="38"/>
      <c r="X164" s="53"/>
      <c r="Y164" s="42"/>
      <c r="Z164" s="42"/>
      <c r="AA164" s="42"/>
    </row>
    <row r="165" ht="13.75" customHeight="1">
      <c r="A165" s="14" t="s">
        <v>140</v>
      </c>
      <c r="B165" s="50"/>
      <c r="C165" s="43"/>
      <c r="D165" s="43"/>
      <c r="E165" s="44"/>
      <c r="F165" s="44"/>
      <c r="G165" s="44"/>
      <c r="H165" s="45"/>
      <c r="I165" s="54"/>
      <c r="J165" s="47" t="str">
        <f>IF(OR(K165="ERREUR",L165="ERREUR",M165="ERREUR",N165="ERREUR",O165="ERREUR",P165="ERREUR",Q165="ERREUR"),"ERREUR",IF(AND(K165="",L165="",M165="",N165="",O165="",P165="",Q165=""),"ligne vide",IF(OR(K165="",L165="",M165="",N165="",O165="",P165="",Q165=""),"ligne incomplète","Valide")))</f>
        <v xml:space="preserve">ligne vide</v>
      </c>
      <c r="K165" s="48" t="str">
        <f>IF(ISBLANK(B165),IF(ISBLANK(B166),T(B165),"ERREUR"),IF(ISNUMBER(B165),_xlfn.NUMBERVALUE(B165),IF(ISTEXT(B165),VALUE(B165),"ERREUR")))</f>
        <v/>
      </c>
      <c r="L165" s="38" t="str">
        <f>IF(COUNTIF($R$4:$R$6,C165)&gt;0,C165,IF(ISBLANK(C165),IF(ISBLANK(D165),T(C165),"ERREUR"),"ERREUR"))</f>
        <v/>
      </c>
      <c r="M165" s="49" t="str">
        <f>IF(ISBLANK(D165),IF(ISBLANK(D166),T(D165),"ERREUR"),IF(COUNTIF($T$4:$T$240,SUBSTITUTE(SUBSTITUTE(SUBSTITUTE(SUBSTITUTE(SUBSTITUTE(SUBSTITUTE(UPPER(D165),"Å","A"),"É","E"),"È","E"),"Ê","E"),"Î","I"),"Ï","I"))&gt;0,D165,IF(ISBLANK(D165),T(D165),"ERREUR")))</f>
        <v/>
      </c>
      <c r="N165" s="38" t="str">
        <f>IF(COUNTIF($V$4:$V$6,E165)&gt;0,E165,IF(ISBLANK(E165),IF(ISBLANK(E166),T(E165),"ERREUR"),"ERREUR"))</f>
        <v/>
      </c>
      <c r="O165" s="38" t="str">
        <f>IF(COUNTIF($W$4:$W$5,F165)&gt;0,F165,IF(ISBLANK(F165),IF(ISBLANK(F166),T(F165),"ERREUR"),"ERREUR"))</f>
        <v/>
      </c>
      <c r="P165" s="38" t="str">
        <f>IF(COUNTIF($X$4:$X$8,G165)&gt;0,G165,IF(ISBLANK(G165),IF(ISBLANK(G166),T(G165),"ERREUR"),"ERREUR"))</f>
        <v/>
      </c>
      <c r="Q165" s="38" t="str">
        <f>IF(ISNUMBER(H165),IF(INT(H165)=H165,H165,"ERREUR"),IF(ISBLANK(H165),IF(ISBLANK(H166),T(H165),"ERREUR"),"ERREUR"))</f>
        <v/>
      </c>
      <c r="R165" s="38"/>
      <c r="S165" s="1" t="s">
        <v>371</v>
      </c>
      <c r="T165" s="39" t="s">
        <v>372</v>
      </c>
      <c r="U165" s="38" t="str">
        <f>SUBSTITUTE(SUBSTITUTE(SUBSTITUTE(SUBSTITUTE(SUBSTITUTE(SUBSTITUTE(SUBSTITUTE(SUBSTITUTE(UPPER(S165),"Å","A"),"É","E"),"È","E"),"Ê","E"),"Ë","E"),"Î","I"),"Ï","I"),"Ô","O")</f>
        <v>OUGANDA</v>
      </c>
      <c r="V165" s="38"/>
      <c r="W165" s="38"/>
      <c r="X165" s="53"/>
      <c r="Y165" s="42"/>
      <c r="Z165" s="42"/>
      <c r="AA165" s="42"/>
    </row>
    <row r="166" ht="13.75" customHeight="1">
      <c r="A166" s="14" t="s">
        <v>140</v>
      </c>
      <c r="B166" s="50"/>
      <c r="C166" s="43"/>
      <c r="D166" s="43"/>
      <c r="E166" s="44"/>
      <c r="F166" s="44"/>
      <c r="G166" s="44"/>
      <c r="H166" s="45"/>
      <c r="I166" s="54"/>
      <c r="J166" s="47" t="str">
        <f>IF(OR(K166="ERREUR",L166="ERREUR",M166="ERREUR",N166="ERREUR",O166="ERREUR",P166="ERREUR",Q166="ERREUR"),"ERREUR",IF(AND(K166="",L166="",M166="",N166="",O166="",P166="",Q166=""),"ligne vide",IF(OR(K166="",L166="",M166="",N166="",O166="",P166="",Q166=""),"ligne incomplète","Valide")))</f>
        <v xml:space="preserve">ligne vide</v>
      </c>
      <c r="K166" s="48" t="str">
        <f>IF(ISBLANK(B166),IF(ISBLANK(B167),T(B166),"ERREUR"),IF(ISNUMBER(B166),_xlfn.NUMBERVALUE(B166),IF(ISTEXT(B166),VALUE(B166),"ERREUR")))</f>
        <v/>
      </c>
      <c r="L166" s="38" t="str">
        <f>IF(COUNTIF($R$4:$R$6,C166)&gt;0,C166,IF(ISBLANK(C166),IF(ISBLANK(D166),T(C166),"ERREUR"),"ERREUR"))</f>
        <v/>
      </c>
      <c r="M166" s="49" t="str">
        <f>IF(ISBLANK(D166),IF(ISBLANK(D167),T(D166),"ERREUR"),IF(COUNTIF($T$4:$T$240,SUBSTITUTE(SUBSTITUTE(SUBSTITUTE(SUBSTITUTE(SUBSTITUTE(SUBSTITUTE(UPPER(D166),"Å","A"),"É","E"),"È","E"),"Ê","E"),"Î","I"),"Ï","I"))&gt;0,D166,IF(ISBLANK(D166),T(D166),"ERREUR")))</f>
        <v/>
      </c>
      <c r="N166" s="38" t="str">
        <f>IF(COUNTIF($V$4:$V$6,E166)&gt;0,E166,IF(ISBLANK(E166),IF(ISBLANK(E167),T(E166),"ERREUR"),"ERREUR"))</f>
        <v/>
      </c>
      <c r="O166" s="38" t="str">
        <f>IF(COUNTIF($W$4:$W$5,F166)&gt;0,F166,IF(ISBLANK(F166),IF(ISBLANK(F167),T(F166),"ERREUR"),"ERREUR"))</f>
        <v/>
      </c>
      <c r="P166" s="38" t="str">
        <f>IF(COUNTIF($X$4:$X$8,G166)&gt;0,G166,IF(ISBLANK(G166),IF(ISBLANK(G167),T(G166),"ERREUR"),"ERREUR"))</f>
        <v/>
      </c>
      <c r="Q166" s="38" t="str">
        <f>IF(ISNUMBER(H166),IF(INT(H166)=H166,H166,"ERREUR"),IF(ISBLANK(H166),IF(ISBLANK(H167),T(H166),"ERREUR"),"ERREUR"))</f>
        <v/>
      </c>
      <c r="R166" s="38"/>
      <c r="S166" s="1" t="s">
        <v>373</v>
      </c>
      <c r="T166" s="39" t="s">
        <v>374</v>
      </c>
      <c r="U166" s="38" t="str">
        <f>SUBSTITUTE(SUBSTITUTE(SUBSTITUTE(SUBSTITUTE(SUBSTITUTE(SUBSTITUTE(SUBSTITUTE(SUBSTITUTE(UPPER(S166),"Å","A"),"É","E"),"È","E"),"Ê","E"),"Ë","E"),"Î","I"),"Ï","I"),"Ô","O")</f>
        <v>OUZBEKISTAN</v>
      </c>
      <c r="V166" s="38"/>
      <c r="W166" s="38"/>
      <c r="X166" s="53"/>
      <c r="Y166" s="42"/>
      <c r="Z166" s="42"/>
      <c r="AA166" s="42"/>
    </row>
    <row r="167" ht="13.75" customHeight="1">
      <c r="A167" s="14" t="s">
        <v>140</v>
      </c>
      <c r="B167" s="50"/>
      <c r="C167" s="43"/>
      <c r="D167" s="43"/>
      <c r="E167" s="44"/>
      <c r="F167" s="44"/>
      <c r="G167" s="44"/>
      <c r="H167" s="45"/>
      <c r="I167" s="54"/>
      <c r="J167" s="47" t="str">
        <f>IF(OR(K167="ERREUR",L167="ERREUR",M167="ERREUR",N167="ERREUR",O167="ERREUR",P167="ERREUR",Q167="ERREUR"),"ERREUR",IF(AND(K167="",L167="",M167="",N167="",O167="",P167="",Q167=""),"ligne vide",IF(OR(K167="",L167="",M167="",N167="",O167="",P167="",Q167=""),"ligne incomplète","Valide")))</f>
        <v xml:space="preserve">ligne vide</v>
      </c>
      <c r="K167" s="48" t="str">
        <f>IF(ISBLANK(B167),IF(ISBLANK(B168),T(B167),"ERREUR"),IF(ISNUMBER(B167),_xlfn.NUMBERVALUE(B167),IF(ISTEXT(B167),VALUE(B167),"ERREUR")))</f>
        <v/>
      </c>
      <c r="L167" s="38" t="str">
        <f>IF(COUNTIF($R$4:$R$6,C167)&gt;0,C167,IF(ISBLANK(C167),IF(ISBLANK(D167),T(C167),"ERREUR"),"ERREUR"))</f>
        <v/>
      </c>
      <c r="M167" s="49" t="str">
        <f>IF(ISBLANK(D167),IF(ISBLANK(D168),T(D167),"ERREUR"),IF(COUNTIF($T$4:$T$240,SUBSTITUTE(SUBSTITUTE(SUBSTITUTE(SUBSTITUTE(SUBSTITUTE(SUBSTITUTE(UPPER(D167),"Å","A"),"É","E"),"È","E"),"Ê","E"),"Î","I"),"Ï","I"))&gt;0,D167,IF(ISBLANK(D167),T(D167),"ERREUR")))</f>
        <v/>
      </c>
      <c r="N167" s="38" t="str">
        <f>IF(COUNTIF($V$4:$V$6,E167)&gt;0,E167,IF(ISBLANK(E167),IF(ISBLANK(E168),T(E167),"ERREUR"),"ERREUR"))</f>
        <v/>
      </c>
      <c r="O167" s="38" t="str">
        <f>IF(COUNTIF($W$4:$W$5,F167)&gt;0,F167,IF(ISBLANK(F167),IF(ISBLANK(F168),T(F167),"ERREUR"),"ERREUR"))</f>
        <v/>
      </c>
      <c r="P167" s="38" t="str">
        <f>IF(COUNTIF($X$4:$X$8,G167)&gt;0,G167,IF(ISBLANK(G167),IF(ISBLANK(G168),T(G167),"ERREUR"),"ERREUR"))</f>
        <v/>
      </c>
      <c r="Q167" s="38" t="str">
        <f>IF(ISNUMBER(H167),IF(INT(H167)=H167,H167,"ERREUR"),IF(ISBLANK(H167),IF(ISBLANK(H168),T(H167),"ERREUR"),"ERREUR"))</f>
        <v/>
      </c>
      <c r="R167" s="38"/>
      <c r="S167" s="1" t="s">
        <v>375</v>
      </c>
      <c r="T167" s="39" t="s">
        <v>376</v>
      </c>
      <c r="U167" s="38" t="str">
        <f>SUBSTITUTE(SUBSTITUTE(SUBSTITUTE(SUBSTITUTE(SUBSTITUTE(SUBSTITUTE(SUBSTITUTE(SUBSTITUTE(UPPER(S167),"Å","A"),"É","E"),"È","E"),"Ê","E"),"Ë","E"),"Î","I"),"Ï","I"),"Ô","O")</f>
        <v>PAKISTAN</v>
      </c>
      <c r="V167" s="38"/>
      <c r="W167" s="38"/>
      <c r="X167" s="53"/>
      <c r="Y167" s="42"/>
      <c r="Z167" s="42"/>
      <c r="AA167" s="42"/>
    </row>
    <row r="168" ht="13.75" customHeight="1">
      <c r="A168" s="14" t="s">
        <v>140</v>
      </c>
      <c r="B168" s="50"/>
      <c r="C168" s="43"/>
      <c r="D168" s="43"/>
      <c r="E168" s="44"/>
      <c r="F168" s="44"/>
      <c r="G168" s="44"/>
      <c r="H168" s="45"/>
      <c r="I168" s="54"/>
      <c r="J168" s="47" t="str">
        <f>IF(OR(K168="ERREUR",L168="ERREUR",M168="ERREUR",N168="ERREUR",O168="ERREUR",P168="ERREUR",Q168="ERREUR"),"ERREUR",IF(AND(K168="",L168="",M168="",N168="",O168="",P168="",Q168=""),"ligne vide",IF(OR(K168="",L168="",M168="",N168="",O168="",P168="",Q168=""),"ligne incomplète","Valide")))</f>
        <v xml:space="preserve">ligne vide</v>
      </c>
      <c r="K168" s="48" t="str">
        <f>IF(ISBLANK(B168),IF(ISBLANK(B169),T(B168),"ERREUR"),IF(ISNUMBER(B168),_xlfn.NUMBERVALUE(B168),IF(ISTEXT(B168),VALUE(B168),"ERREUR")))</f>
        <v/>
      </c>
      <c r="L168" s="38" t="str">
        <f>IF(COUNTIF($R$4:$R$6,C168)&gt;0,C168,IF(ISBLANK(C168),IF(ISBLANK(D168),T(C168),"ERREUR"),"ERREUR"))</f>
        <v/>
      </c>
      <c r="M168" s="49" t="str">
        <f>IF(ISBLANK(D168),IF(ISBLANK(D169),T(D168),"ERREUR"),IF(COUNTIF($T$4:$T$240,SUBSTITUTE(SUBSTITUTE(SUBSTITUTE(SUBSTITUTE(SUBSTITUTE(SUBSTITUTE(UPPER(D168),"Å","A"),"É","E"),"È","E"),"Ê","E"),"Î","I"),"Ï","I"))&gt;0,D168,IF(ISBLANK(D168),T(D168),"ERREUR")))</f>
        <v/>
      </c>
      <c r="N168" s="38" t="str">
        <f>IF(COUNTIF($V$4:$V$6,E168)&gt;0,E168,IF(ISBLANK(E168),IF(ISBLANK(E169),T(E168),"ERREUR"),"ERREUR"))</f>
        <v/>
      </c>
      <c r="O168" s="38" t="str">
        <f>IF(COUNTIF($W$4:$W$5,F168)&gt;0,F168,IF(ISBLANK(F168),IF(ISBLANK(F169),T(F168),"ERREUR"),"ERREUR"))</f>
        <v/>
      </c>
      <c r="P168" s="38" t="str">
        <f>IF(COUNTIF($X$4:$X$8,G168)&gt;0,G168,IF(ISBLANK(G168),IF(ISBLANK(G169),T(G168),"ERREUR"),"ERREUR"))</f>
        <v/>
      </c>
      <c r="Q168" s="38" t="str">
        <f>IF(ISNUMBER(H168),IF(INT(H168)=H168,H168,"ERREUR"),IF(ISBLANK(H168),IF(ISBLANK(H169),T(H168),"ERREUR"),"ERREUR"))</f>
        <v/>
      </c>
      <c r="R168" s="38"/>
      <c r="S168" s="1" t="s">
        <v>377</v>
      </c>
      <c r="T168" s="39" t="s">
        <v>378</v>
      </c>
      <c r="U168" s="38" t="str">
        <f>SUBSTITUTE(SUBSTITUTE(SUBSTITUTE(SUBSTITUTE(SUBSTITUTE(SUBSTITUTE(SUBSTITUTE(SUBSTITUTE(UPPER(S168),"Å","A"),"É","E"),"È","E"),"Ê","E"),"Ë","E"),"Î","I"),"Ï","I"),"Ô","O")</f>
        <v>PALAOS</v>
      </c>
      <c r="V168" s="38"/>
      <c r="W168" s="38"/>
      <c r="X168" s="53"/>
      <c r="Y168" s="42"/>
      <c r="Z168" s="42"/>
      <c r="AA168" s="42"/>
    </row>
    <row r="169" ht="13.75" customHeight="1">
      <c r="A169" s="14" t="s">
        <v>140</v>
      </c>
      <c r="B169" s="50"/>
      <c r="C169" s="43"/>
      <c r="D169" s="43"/>
      <c r="E169" s="44"/>
      <c r="F169" s="44"/>
      <c r="G169" s="44"/>
      <c r="H169" s="45"/>
      <c r="I169" s="54"/>
      <c r="J169" s="47" t="str">
        <f>IF(OR(K169="ERREUR",L169="ERREUR",M169="ERREUR",N169="ERREUR",O169="ERREUR",P169="ERREUR",Q169="ERREUR"),"ERREUR",IF(AND(K169="",L169="",M169="",N169="",O169="",P169="",Q169=""),"ligne vide",IF(OR(K169="",L169="",M169="",N169="",O169="",P169="",Q169=""),"ligne incomplète","Valide")))</f>
        <v xml:space="preserve">ligne vide</v>
      </c>
      <c r="K169" s="48" t="str">
        <f>IF(ISBLANK(B169),IF(ISBLANK(B170),T(B169),"ERREUR"),IF(ISNUMBER(B169),_xlfn.NUMBERVALUE(B169),IF(ISTEXT(B169),VALUE(B169),"ERREUR")))</f>
        <v/>
      </c>
      <c r="L169" s="38" t="str">
        <f>IF(COUNTIF($R$4:$R$6,C169)&gt;0,C169,IF(ISBLANK(C169),IF(ISBLANK(D169),T(C169),"ERREUR"),"ERREUR"))</f>
        <v/>
      </c>
      <c r="M169" s="49" t="str">
        <f>IF(ISBLANK(D169),IF(ISBLANK(D170),T(D169),"ERREUR"),IF(COUNTIF($T$4:$T$240,SUBSTITUTE(SUBSTITUTE(SUBSTITUTE(SUBSTITUTE(SUBSTITUTE(SUBSTITUTE(UPPER(D169),"Å","A"),"É","E"),"È","E"),"Ê","E"),"Î","I"),"Ï","I"))&gt;0,D169,IF(ISBLANK(D169),T(D169),"ERREUR")))</f>
        <v/>
      </c>
      <c r="N169" s="38" t="str">
        <f>IF(COUNTIF($V$4:$V$6,E169)&gt;0,E169,IF(ISBLANK(E169),IF(ISBLANK(E170),T(E169),"ERREUR"),"ERREUR"))</f>
        <v/>
      </c>
      <c r="O169" s="38" t="str">
        <f>IF(COUNTIF($W$4:$W$5,F169)&gt;0,F169,IF(ISBLANK(F169),IF(ISBLANK(F170),T(F169),"ERREUR"),"ERREUR"))</f>
        <v/>
      </c>
      <c r="P169" s="38" t="str">
        <f>IF(COUNTIF($X$4:$X$8,G169)&gt;0,G169,IF(ISBLANK(G169),IF(ISBLANK(G170),T(G169),"ERREUR"),"ERREUR"))</f>
        <v/>
      </c>
      <c r="Q169" s="38" t="str">
        <f>IF(ISNUMBER(H169),IF(INT(H169)=H169,H169,"ERREUR"),IF(ISBLANK(H169),IF(ISBLANK(H170),T(H169),"ERREUR"),"ERREUR"))</f>
        <v/>
      </c>
      <c r="R169" s="38"/>
      <c r="S169" s="1" t="s">
        <v>379</v>
      </c>
      <c r="T169" s="39" t="s">
        <v>380</v>
      </c>
      <c r="U169" s="38" t="str">
        <f>SUBSTITUTE(SUBSTITUTE(SUBSTITUTE(SUBSTITUTE(SUBSTITUTE(SUBSTITUTE(SUBSTITUTE(SUBSTITUTE(UPPER(S169),"Å","A"),"É","E"),"È","E"),"Ê","E"),"Ë","E"),"Î","I"),"Ï","I"),"Ô","O")</f>
        <v xml:space="preserve">PALESTINE, ETAT DE</v>
      </c>
      <c r="V169" s="38"/>
      <c r="W169" s="38"/>
      <c r="X169" s="53"/>
      <c r="Y169" s="42"/>
      <c r="Z169" s="42"/>
      <c r="AA169" s="42"/>
    </row>
    <row r="170" ht="13.75" customHeight="1">
      <c r="A170" s="14" t="s">
        <v>140</v>
      </c>
      <c r="B170" s="50"/>
      <c r="C170" s="43"/>
      <c r="D170" s="43"/>
      <c r="E170" s="44"/>
      <c r="F170" s="44"/>
      <c r="G170" s="44"/>
      <c r="H170" s="45"/>
      <c r="I170" s="54"/>
      <c r="J170" s="47" t="str">
        <f>IF(OR(K170="ERREUR",L170="ERREUR",M170="ERREUR",N170="ERREUR",O170="ERREUR",P170="ERREUR",Q170="ERREUR"),"ERREUR",IF(AND(K170="",L170="",M170="",N170="",O170="",P170="",Q170=""),"ligne vide",IF(OR(K170="",L170="",M170="",N170="",O170="",P170="",Q170=""),"ligne incomplète","Valide")))</f>
        <v xml:space="preserve">ligne vide</v>
      </c>
      <c r="K170" s="48" t="str">
        <f>IF(ISBLANK(B170),IF(ISBLANK(B171),T(B170),"ERREUR"),IF(ISNUMBER(B170),_xlfn.NUMBERVALUE(B170),IF(ISTEXT(B170),VALUE(B170),"ERREUR")))</f>
        <v/>
      </c>
      <c r="L170" s="38" t="str">
        <f>IF(COUNTIF($R$4:$R$6,C170)&gt;0,C170,IF(ISBLANK(C170),IF(ISBLANK(D170),T(C170),"ERREUR"),"ERREUR"))</f>
        <v/>
      </c>
      <c r="M170" s="49" t="str">
        <f>IF(ISBLANK(D170),IF(ISBLANK(D171),T(D170),"ERREUR"),IF(COUNTIF($T$4:$T$240,SUBSTITUTE(SUBSTITUTE(SUBSTITUTE(SUBSTITUTE(SUBSTITUTE(SUBSTITUTE(UPPER(D170),"Å","A"),"É","E"),"È","E"),"Ê","E"),"Î","I"),"Ï","I"))&gt;0,D170,IF(ISBLANK(D170),T(D170),"ERREUR")))</f>
        <v/>
      </c>
      <c r="N170" s="38" t="str">
        <f>IF(COUNTIF($V$4:$V$6,E170)&gt;0,E170,IF(ISBLANK(E170),IF(ISBLANK(E171),T(E170),"ERREUR"),"ERREUR"))</f>
        <v/>
      </c>
      <c r="O170" s="38" t="str">
        <f>IF(COUNTIF($W$4:$W$5,F170)&gt;0,F170,IF(ISBLANK(F170),IF(ISBLANK(F171),T(F170),"ERREUR"),"ERREUR"))</f>
        <v/>
      </c>
      <c r="P170" s="38" t="str">
        <f>IF(COUNTIF($X$4:$X$8,G170)&gt;0,G170,IF(ISBLANK(G170),IF(ISBLANK(G171),T(G170),"ERREUR"),"ERREUR"))</f>
        <v/>
      </c>
      <c r="Q170" s="38" t="str">
        <f>IF(ISNUMBER(H170),IF(INT(H170)=H170,H170,"ERREUR"),IF(ISBLANK(H170),IF(ISBLANK(H171),T(H170),"ERREUR"),"ERREUR"))</f>
        <v/>
      </c>
      <c r="R170" s="38"/>
      <c r="S170" s="1" t="s">
        <v>381</v>
      </c>
      <c r="T170" s="39" t="s">
        <v>382</v>
      </c>
      <c r="U170" s="38" t="str">
        <f>SUBSTITUTE(SUBSTITUTE(SUBSTITUTE(SUBSTITUTE(SUBSTITUTE(SUBSTITUTE(SUBSTITUTE(SUBSTITUTE(UPPER(S170),"Å","A"),"É","E"),"È","E"),"Ê","E"),"Ë","E"),"Î","I"),"Ï","I"),"Ô","O")</f>
        <v>PANAMA</v>
      </c>
      <c r="V170" s="38"/>
      <c r="W170" s="38"/>
      <c r="X170" s="53"/>
      <c r="Y170" s="42"/>
      <c r="Z170" s="42"/>
      <c r="AA170" s="42"/>
    </row>
    <row r="171" ht="13.75" customHeight="1">
      <c r="A171" s="14" t="s">
        <v>140</v>
      </c>
      <c r="B171" s="50"/>
      <c r="C171" s="43"/>
      <c r="D171" s="43"/>
      <c r="E171" s="44"/>
      <c r="F171" s="44"/>
      <c r="G171" s="44"/>
      <c r="H171" s="45"/>
      <c r="I171" s="54"/>
      <c r="J171" s="47" t="str">
        <f>IF(OR(K171="ERREUR",L171="ERREUR",M171="ERREUR",N171="ERREUR",O171="ERREUR",P171="ERREUR",Q171="ERREUR"),"ERREUR",IF(AND(K171="",L171="",M171="",N171="",O171="",P171="",Q171=""),"ligne vide",IF(OR(K171="",L171="",M171="",N171="",O171="",P171="",Q171=""),"ligne incomplète","Valide")))</f>
        <v xml:space="preserve">ligne vide</v>
      </c>
      <c r="K171" s="48" t="str">
        <f>IF(ISBLANK(B171),IF(ISBLANK(B172),T(B171),"ERREUR"),IF(ISNUMBER(B171),_xlfn.NUMBERVALUE(B171),IF(ISTEXT(B171),VALUE(B171),"ERREUR")))</f>
        <v/>
      </c>
      <c r="L171" s="38" t="str">
        <f>IF(COUNTIF($R$4:$R$6,C171)&gt;0,C171,IF(ISBLANK(C171),IF(ISBLANK(D171),T(C171),"ERREUR"),"ERREUR"))</f>
        <v/>
      </c>
      <c r="M171" s="49" t="str">
        <f>IF(ISBLANK(D171),IF(ISBLANK(D172),T(D171),"ERREUR"),IF(COUNTIF($T$4:$T$240,SUBSTITUTE(SUBSTITUTE(SUBSTITUTE(SUBSTITUTE(SUBSTITUTE(SUBSTITUTE(UPPER(D171),"Å","A"),"É","E"),"È","E"),"Ê","E"),"Î","I"),"Ï","I"))&gt;0,D171,IF(ISBLANK(D171),T(D171),"ERREUR")))</f>
        <v/>
      </c>
      <c r="N171" s="38" t="str">
        <f>IF(COUNTIF($V$4:$V$6,E171)&gt;0,E171,IF(ISBLANK(E171),IF(ISBLANK(E172),T(E171),"ERREUR"),"ERREUR"))</f>
        <v/>
      </c>
      <c r="O171" s="38" t="str">
        <f>IF(COUNTIF($W$4:$W$5,F171)&gt;0,F171,IF(ISBLANK(F171),IF(ISBLANK(F172),T(F171),"ERREUR"),"ERREUR"))</f>
        <v/>
      </c>
      <c r="P171" s="38" t="str">
        <f>IF(COUNTIF($X$4:$X$8,G171)&gt;0,G171,IF(ISBLANK(G171),IF(ISBLANK(G172),T(G171),"ERREUR"),"ERREUR"))</f>
        <v/>
      </c>
      <c r="Q171" s="38" t="str">
        <f>IF(ISNUMBER(H171),IF(INT(H171)=H171,H171,"ERREUR"),IF(ISBLANK(H171),IF(ISBLANK(H172),T(H171),"ERREUR"),"ERREUR"))</f>
        <v/>
      </c>
      <c r="R171" s="38"/>
      <c r="S171" s="1" t="s">
        <v>383</v>
      </c>
      <c r="T171" s="39" t="s">
        <v>384</v>
      </c>
      <c r="U171" s="38" t="str">
        <f>SUBSTITUTE(SUBSTITUTE(SUBSTITUTE(SUBSTITUTE(SUBSTITUTE(SUBSTITUTE(SUBSTITUTE(SUBSTITUTE(UPPER(S171),"Å","A"),"É","E"),"È","E"),"Ê","E"),"Ë","E"),"Î","I"),"Ï","I"),"Ô","O")</f>
        <v>PAPOUASIE-NOUVELLE-GUINEE</v>
      </c>
      <c r="V171" s="38"/>
      <c r="W171" s="38"/>
      <c r="X171" s="53"/>
      <c r="Y171" s="42"/>
      <c r="Z171" s="42"/>
      <c r="AA171" s="42"/>
    </row>
    <row r="172" ht="13.75" customHeight="1">
      <c r="A172" s="14" t="s">
        <v>140</v>
      </c>
      <c r="B172" s="50"/>
      <c r="C172" s="43"/>
      <c r="D172" s="43"/>
      <c r="E172" s="44"/>
      <c r="F172" s="44"/>
      <c r="G172" s="44"/>
      <c r="H172" s="45"/>
      <c r="I172" s="54"/>
      <c r="J172" s="47" t="str">
        <f>IF(OR(K172="ERREUR",L172="ERREUR",M172="ERREUR",N172="ERREUR",O172="ERREUR",P172="ERREUR",Q172="ERREUR"),"ERREUR",IF(AND(K172="",L172="",M172="",N172="",O172="",P172="",Q172=""),"ligne vide",IF(OR(K172="",L172="",M172="",N172="",O172="",P172="",Q172=""),"ligne incomplète","Valide")))</f>
        <v xml:space="preserve">ligne vide</v>
      </c>
      <c r="K172" s="48" t="str">
        <f>IF(ISBLANK(B172),IF(ISBLANK(B173),T(B172),"ERREUR"),IF(ISNUMBER(B172),_xlfn.NUMBERVALUE(B172),IF(ISTEXT(B172),VALUE(B172),"ERREUR")))</f>
        <v/>
      </c>
      <c r="L172" s="38" t="str">
        <f>IF(COUNTIF($R$4:$R$6,C172)&gt;0,C172,IF(ISBLANK(C172),IF(ISBLANK(D172),T(C172),"ERREUR"),"ERREUR"))</f>
        <v/>
      </c>
      <c r="M172" s="49" t="str">
        <f>IF(ISBLANK(D172),IF(ISBLANK(D173),T(D172),"ERREUR"),IF(COUNTIF($T$4:$T$240,SUBSTITUTE(SUBSTITUTE(SUBSTITUTE(SUBSTITUTE(SUBSTITUTE(SUBSTITUTE(UPPER(D172),"Å","A"),"É","E"),"È","E"),"Ê","E"),"Î","I"),"Ï","I"))&gt;0,D172,IF(ISBLANK(D172),T(D172),"ERREUR")))</f>
        <v/>
      </c>
      <c r="N172" s="38" t="str">
        <f>IF(COUNTIF($V$4:$V$6,E172)&gt;0,E172,IF(ISBLANK(E172),IF(ISBLANK(E173),T(E172),"ERREUR"),"ERREUR"))</f>
        <v/>
      </c>
      <c r="O172" s="38" t="str">
        <f>IF(COUNTIF($W$4:$W$5,F172)&gt;0,F172,IF(ISBLANK(F172),IF(ISBLANK(F173),T(F172),"ERREUR"),"ERREUR"))</f>
        <v/>
      </c>
      <c r="P172" s="38" t="str">
        <f>IF(COUNTIF($X$4:$X$8,G172)&gt;0,G172,IF(ISBLANK(G172),IF(ISBLANK(G173),T(G172),"ERREUR"),"ERREUR"))</f>
        <v/>
      </c>
      <c r="Q172" s="38" t="str">
        <f>IF(ISNUMBER(H172),IF(INT(H172)=H172,H172,"ERREUR"),IF(ISBLANK(H172),IF(ISBLANK(H173),T(H172),"ERREUR"),"ERREUR"))</f>
        <v/>
      </c>
      <c r="R172" s="38"/>
      <c r="S172" s="1" t="s">
        <v>385</v>
      </c>
      <c r="T172" s="39" t="s">
        <v>386</v>
      </c>
      <c r="U172" s="38" t="str">
        <f>SUBSTITUTE(SUBSTITUTE(SUBSTITUTE(SUBSTITUTE(SUBSTITUTE(SUBSTITUTE(SUBSTITUTE(SUBSTITUTE(UPPER(S172),"Å","A"),"É","E"),"È","E"),"Ê","E"),"Ë","E"),"Î","I"),"Ï","I"),"Ô","O")</f>
        <v>PARAGUAY</v>
      </c>
      <c r="V172" s="38"/>
      <c r="W172" s="38"/>
      <c r="X172" s="53"/>
      <c r="Y172" s="42"/>
      <c r="Z172" s="42"/>
      <c r="AA172" s="42"/>
    </row>
    <row r="173" ht="13.75" customHeight="1">
      <c r="A173" s="14" t="s">
        <v>140</v>
      </c>
      <c r="B173" s="50"/>
      <c r="C173" s="43"/>
      <c r="D173" s="43"/>
      <c r="E173" s="44"/>
      <c r="F173" s="44"/>
      <c r="G173" s="44"/>
      <c r="H173" s="45"/>
      <c r="I173" s="54"/>
      <c r="J173" s="47" t="str">
        <f>IF(OR(K173="ERREUR",L173="ERREUR",M173="ERREUR",N173="ERREUR",O173="ERREUR",P173="ERREUR",Q173="ERREUR"),"ERREUR",IF(AND(K173="",L173="",M173="",N173="",O173="",P173="",Q173=""),"ligne vide",IF(OR(K173="",L173="",M173="",N173="",O173="",P173="",Q173=""),"ligne incomplète","Valide")))</f>
        <v xml:space="preserve">ligne vide</v>
      </c>
      <c r="K173" s="48" t="str">
        <f>IF(ISBLANK(B173),IF(ISBLANK(B174),T(B173),"ERREUR"),IF(ISNUMBER(B173),_xlfn.NUMBERVALUE(B173),IF(ISTEXT(B173),VALUE(B173),"ERREUR")))</f>
        <v/>
      </c>
      <c r="L173" s="38" t="str">
        <f>IF(COUNTIF($R$4:$R$6,C173)&gt;0,C173,IF(ISBLANK(C173),IF(ISBLANK(D173),T(C173),"ERREUR"),"ERREUR"))</f>
        <v/>
      </c>
      <c r="M173" s="49" t="str">
        <f>IF(ISBLANK(D173),IF(ISBLANK(D174),T(D173),"ERREUR"),IF(COUNTIF($T$4:$T$240,SUBSTITUTE(SUBSTITUTE(SUBSTITUTE(SUBSTITUTE(SUBSTITUTE(SUBSTITUTE(UPPER(D173),"Å","A"),"É","E"),"È","E"),"Ê","E"),"Î","I"),"Ï","I"))&gt;0,D173,IF(ISBLANK(D173),T(D173),"ERREUR")))</f>
        <v/>
      </c>
      <c r="N173" s="38" t="str">
        <f>IF(COUNTIF($V$4:$V$6,E173)&gt;0,E173,IF(ISBLANK(E173),IF(ISBLANK(E174),T(E173),"ERREUR"),"ERREUR"))</f>
        <v/>
      </c>
      <c r="O173" s="38" t="str">
        <f>IF(COUNTIF($W$4:$W$5,F173)&gt;0,F173,IF(ISBLANK(F173),IF(ISBLANK(F174),T(F173),"ERREUR"),"ERREUR"))</f>
        <v/>
      </c>
      <c r="P173" s="38" t="str">
        <f>IF(COUNTIF($X$4:$X$8,G173)&gt;0,G173,IF(ISBLANK(G173),IF(ISBLANK(G174),T(G173),"ERREUR"),"ERREUR"))</f>
        <v/>
      </c>
      <c r="Q173" s="38" t="str">
        <f>IF(ISNUMBER(H173),IF(INT(H173)=H173,H173,"ERREUR"),IF(ISBLANK(H173),IF(ISBLANK(H174),T(H173),"ERREUR"),"ERREUR"))</f>
        <v/>
      </c>
      <c r="R173" s="38"/>
      <c r="S173" s="1" t="s">
        <v>387</v>
      </c>
      <c r="T173" s="39" t="s">
        <v>388</v>
      </c>
      <c r="U173" s="38" t="str">
        <f>SUBSTITUTE(SUBSTITUTE(SUBSTITUTE(SUBSTITUTE(SUBSTITUTE(SUBSTITUTE(SUBSTITUTE(SUBSTITUTE(UPPER(S173),"Å","A"),"É","E"),"È","E"),"Ê","E"),"Ë","E"),"Î","I"),"Ï","I"),"Ô","O")</f>
        <v>PAYS-BAS</v>
      </c>
      <c r="V173" s="38"/>
      <c r="W173" s="38"/>
      <c r="X173" s="53"/>
      <c r="Y173" s="42"/>
      <c r="Z173" s="42"/>
      <c r="AA173" s="42"/>
    </row>
    <row r="174" ht="13.75" customHeight="1">
      <c r="A174" s="14" t="s">
        <v>140</v>
      </c>
      <c r="B174" s="50"/>
      <c r="C174" s="43"/>
      <c r="D174" s="43"/>
      <c r="E174" s="44"/>
      <c r="F174" s="44"/>
      <c r="G174" s="44"/>
      <c r="H174" s="45"/>
      <c r="I174" s="54"/>
      <c r="J174" s="47" t="str">
        <f>IF(OR(K174="ERREUR",L174="ERREUR",M174="ERREUR",N174="ERREUR",O174="ERREUR",P174="ERREUR",Q174="ERREUR"),"ERREUR",IF(AND(K174="",L174="",M174="",N174="",O174="",P174="",Q174=""),"ligne vide",IF(OR(K174="",L174="",M174="",N174="",O174="",P174="",Q174=""),"ligne incomplète","Valide")))</f>
        <v xml:space="preserve">ligne vide</v>
      </c>
      <c r="K174" s="48" t="str">
        <f>IF(ISBLANK(B174),IF(ISBLANK(B175),T(B174),"ERREUR"),IF(ISNUMBER(B174),_xlfn.NUMBERVALUE(B174),IF(ISTEXT(B174),VALUE(B174),"ERREUR")))</f>
        <v/>
      </c>
      <c r="L174" s="38" t="str">
        <f>IF(COUNTIF($R$4:$R$6,C174)&gt;0,C174,IF(ISBLANK(C174),IF(ISBLANK(D174),T(C174),"ERREUR"),"ERREUR"))</f>
        <v/>
      </c>
      <c r="M174" s="49" t="str">
        <f>IF(ISBLANK(D174),IF(ISBLANK(D175),T(D174),"ERREUR"),IF(COUNTIF($T$4:$T$240,SUBSTITUTE(SUBSTITUTE(SUBSTITUTE(SUBSTITUTE(SUBSTITUTE(SUBSTITUTE(UPPER(D174),"Å","A"),"É","E"),"È","E"),"Ê","E"),"Î","I"),"Ï","I"))&gt;0,D174,IF(ISBLANK(D174),T(D174),"ERREUR")))</f>
        <v/>
      </c>
      <c r="N174" s="38" t="str">
        <f>IF(COUNTIF($V$4:$V$6,E174)&gt;0,E174,IF(ISBLANK(E174),IF(ISBLANK(E175),T(E174),"ERREUR"),"ERREUR"))</f>
        <v/>
      </c>
      <c r="O174" s="38" t="str">
        <f>IF(COUNTIF($W$4:$W$5,F174)&gt;0,F174,IF(ISBLANK(F174),IF(ISBLANK(F175),T(F174),"ERREUR"),"ERREUR"))</f>
        <v/>
      </c>
      <c r="P174" s="38" t="str">
        <f>IF(COUNTIF($X$4:$X$8,G174)&gt;0,G174,IF(ISBLANK(G174),IF(ISBLANK(G175),T(G174),"ERREUR"),"ERREUR"))</f>
        <v/>
      </c>
      <c r="Q174" s="38" t="str">
        <f>IF(ISNUMBER(H174),IF(INT(H174)=H174,H174,"ERREUR"),IF(ISBLANK(H174),IF(ISBLANK(H175),T(H174),"ERREUR"),"ERREUR"))</f>
        <v/>
      </c>
      <c r="R174" s="38"/>
      <c r="S174" s="1" t="s">
        <v>389</v>
      </c>
      <c r="T174" s="39" t="s">
        <v>390</v>
      </c>
      <c r="U174" s="38" t="str">
        <f>SUBSTITUTE(SUBSTITUTE(SUBSTITUTE(SUBSTITUTE(SUBSTITUTE(SUBSTITUTE(SUBSTITUTE(SUBSTITUTE(UPPER(S174),"Å","A"),"É","E"),"È","E"),"Ê","E"),"Ë","E"),"Î","I"),"Ï","I"),"Ô","O")</f>
        <v>PEROU</v>
      </c>
      <c r="V174" s="38"/>
      <c r="W174" s="38"/>
      <c r="X174" s="53"/>
      <c r="Y174" s="42"/>
      <c r="Z174" s="42"/>
      <c r="AA174" s="42"/>
    </row>
    <row r="175" ht="13.75" customHeight="1">
      <c r="A175" s="14" t="s">
        <v>140</v>
      </c>
      <c r="B175" s="50"/>
      <c r="C175" s="43"/>
      <c r="D175" s="43"/>
      <c r="E175" s="44"/>
      <c r="F175" s="44"/>
      <c r="G175" s="44"/>
      <c r="H175" s="45"/>
      <c r="I175" s="54"/>
      <c r="J175" s="47" t="str">
        <f>IF(OR(K175="ERREUR",L175="ERREUR",M175="ERREUR",N175="ERREUR",O175="ERREUR",P175="ERREUR",Q175="ERREUR"),"ERREUR",IF(AND(K175="",L175="",M175="",N175="",O175="",P175="",Q175=""),"ligne vide",IF(OR(K175="",L175="",M175="",N175="",O175="",P175="",Q175=""),"ligne incomplète","Valide")))</f>
        <v xml:space="preserve">ligne vide</v>
      </c>
      <c r="K175" s="48" t="str">
        <f>IF(ISBLANK(B175),IF(ISBLANK(B176),T(B175),"ERREUR"),IF(ISNUMBER(B175),_xlfn.NUMBERVALUE(B175),IF(ISTEXT(B175),VALUE(B175),"ERREUR")))</f>
        <v/>
      </c>
      <c r="L175" s="38" t="str">
        <f>IF(COUNTIF($R$4:$R$6,C175)&gt;0,C175,IF(ISBLANK(C175),IF(ISBLANK(D175),T(C175),"ERREUR"),"ERREUR"))</f>
        <v/>
      </c>
      <c r="M175" s="49" t="str">
        <f>IF(ISBLANK(D175),IF(ISBLANK(D176),T(D175),"ERREUR"),IF(COUNTIF($T$4:$T$240,SUBSTITUTE(SUBSTITUTE(SUBSTITUTE(SUBSTITUTE(SUBSTITUTE(SUBSTITUTE(UPPER(D175),"Å","A"),"É","E"),"È","E"),"Ê","E"),"Î","I"),"Ï","I"))&gt;0,D175,IF(ISBLANK(D175),T(D175),"ERREUR")))</f>
        <v/>
      </c>
      <c r="N175" s="38" t="str">
        <f>IF(COUNTIF($V$4:$V$6,E175)&gt;0,E175,IF(ISBLANK(E175),IF(ISBLANK(E176),T(E175),"ERREUR"),"ERREUR"))</f>
        <v/>
      </c>
      <c r="O175" s="38" t="str">
        <f>IF(COUNTIF($W$4:$W$5,F175)&gt;0,F175,IF(ISBLANK(F175),IF(ISBLANK(F176),T(F175),"ERREUR"),"ERREUR"))</f>
        <v/>
      </c>
      <c r="P175" s="38" t="str">
        <f>IF(COUNTIF($X$4:$X$8,G175)&gt;0,G175,IF(ISBLANK(G175),IF(ISBLANK(G176),T(G175),"ERREUR"),"ERREUR"))</f>
        <v/>
      </c>
      <c r="Q175" s="38" t="str">
        <f>IF(ISNUMBER(H175),IF(INT(H175)=H175,H175,"ERREUR"),IF(ISBLANK(H175),IF(ISBLANK(H176),T(H175),"ERREUR"),"ERREUR"))</f>
        <v/>
      </c>
      <c r="R175" s="38"/>
      <c r="S175" s="1" t="s">
        <v>391</v>
      </c>
      <c r="T175" s="39" t="s">
        <v>392</v>
      </c>
      <c r="U175" s="38" t="str">
        <f>SUBSTITUTE(SUBSTITUTE(SUBSTITUTE(SUBSTITUTE(SUBSTITUTE(SUBSTITUTE(SUBSTITUTE(SUBSTITUTE(UPPER(S175),"Å","A"),"É","E"),"È","E"),"Ê","E"),"Ë","E"),"Î","I"),"Ï","I"),"Ô","O")</f>
        <v>PHILIPPINES</v>
      </c>
      <c r="V175" s="38"/>
      <c r="W175" s="38"/>
      <c r="X175" s="53"/>
      <c r="Y175" s="42"/>
      <c r="Z175" s="42"/>
      <c r="AA175" s="42"/>
    </row>
    <row r="176" ht="13.75" customHeight="1">
      <c r="A176" s="14" t="s">
        <v>140</v>
      </c>
      <c r="B176" s="50"/>
      <c r="C176" s="43"/>
      <c r="D176" s="43"/>
      <c r="E176" s="44"/>
      <c r="F176" s="44"/>
      <c r="G176" s="44"/>
      <c r="H176" s="45"/>
      <c r="I176" s="54"/>
      <c r="J176" s="47" t="str">
        <f>IF(OR(K176="ERREUR",L176="ERREUR",M176="ERREUR",N176="ERREUR",O176="ERREUR",P176="ERREUR",Q176="ERREUR"),"ERREUR",IF(AND(K176="",L176="",M176="",N176="",O176="",P176="",Q176=""),"ligne vide",IF(OR(K176="",L176="",M176="",N176="",O176="",P176="",Q176=""),"ligne incomplète","Valide")))</f>
        <v xml:space="preserve">ligne vide</v>
      </c>
      <c r="K176" s="48" t="str">
        <f>IF(ISBLANK(B176),IF(ISBLANK(B177),T(B176),"ERREUR"),IF(ISNUMBER(B176),_xlfn.NUMBERVALUE(B176),IF(ISTEXT(B176),VALUE(B176),"ERREUR")))</f>
        <v/>
      </c>
      <c r="L176" s="38" t="str">
        <f>IF(COUNTIF($R$4:$R$6,C176)&gt;0,C176,IF(ISBLANK(C176),IF(ISBLANK(D176),T(C176),"ERREUR"),"ERREUR"))</f>
        <v/>
      </c>
      <c r="M176" s="49" t="str">
        <f>IF(ISBLANK(D176),IF(ISBLANK(D177),T(D176),"ERREUR"),IF(COUNTIF($T$4:$T$240,SUBSTITUTE(SUBSTITUTE(SUBSTITUTE(SUBSTITUTE(SUBSTITUTE(SUBSTITUTE(UPPER(D176),"Å","A"),"É","E"),"È","E"),"Ê","E"),"Î","I"),"Ï","I"))&gt;0,D176,IF(ISBLANK(D176),T(D176),"ERREUR")))</f>
        <v/>
      </c>
      <c r="N176" s="38" t="str">
        <f>IF(COUNTIF($V$4:$V$6,E176)&gt;0,E176,IF(ISBLANK(E176),IF(ISBLANK(E177),T(E176),"ERREUR"),"ERREUR"))</f>
        <v/>
      </c>
      <c r="O176" s="38" t="str">
        <f>IF(COUNTIF($W$4:$W$5,F176)&gt;0,F176,IF(ISBLANK(F176),IF(ISBLANK(F177),T(F176),"ERREUR"),"ERREUR"))</f>
        <v/>
      </c>
      <c r="P176" s="38" t="str">
        <f>IF(COUNTIF($X$4:$X$8,G176)&gt;0,G176,IF(ISBLANK(G176),IF(ISBLANK(G177),T(G176),"ERREUR"),"ERREUR"))</f>
        <v/>
      </c>
      <c r="Q176" s="38" t="str">
        <f>IF(ISNUMBER(H176),IF(INT(H176)=H176,H176,"ERREUR"),IF(ISBLANK(H176),IF(ISBLANK(H177),T(H176),"ERREUR"),"ERREUR"))</f>
        <v/>
      </c>
      <c r="R176" s="38"/>
      <c r="S176" s="1" t="s">
        <v>393</v>
      </c>
      <c r="T176" s="39" t="s">
        <v>394</v>
      </c>
      <c r="U176" s="38" t="str">
        <f>SUBSTITUTE(SUBSTITUTE(SUBSTITUTE(SUBSTITUTE(SUBSTITUTE(SUBSTITUTE(SUBSTITUTE(SUBSTITUTE(UPPER(S176),"Å","A"),"É","E"),"È","E"),"Ê","E"),"Ë","E"),"Î","I"),"Ï","I"),"Ô","O")</f>
        <v>POLOGNE</v>
      </c>
      <c r="V176" s="38"/>
      <c r="W176" s="38"/>
      <c r="X176" s="53"/>
      <c r="Y176" s="42"/>
      <c r="Z176" s="42"/>
      <c r="AA176" s="42"/>
    </row>
    <row r="177" ht="13.75" customHeight="1">
      <c r="A177" s="14" t="s">
        <v>140</v>
      </c>
      <c r="B177" s="50"/>
      <c r="C177" s="43"/>
      <c r="D177" s="43"/>
      <c r="E177" s="44"/>
      <c r="F177" s="44"/>
      <c r="G177" s="44"/>
      <c r="H177" s="45"/>
      <c r="I177" s="54"/>
      <c r="J177" s="47" t="str">
        <f>IF(OR(K177="ERREUR",L177="ERREUR",M177="ERREUR",N177="ERREUR",O177="ERREUR",P177="ERREUR",Q177="ERREUR"),"ERREUR",IF(AND(K177="",L177="",M177="",N177="",O177="",P177="",Q177=""),"ligne vide",IF(OR(K177="",L177="",M177="",N177="",O177="",P177="",Q177=""),"ligne incomplète","Valide")))</f>
        <v xml:space="preserve">ligne vide</v>
      </c>
      <c r="K177" s="48" t="str">
        <f>IF(ISBLANK(B177),IF(ISBLANK(B178),T(B177),"ERREUR"),IF(ISNUMBER(B177),_xlfn.NUMBERVALUE(B177),IF(ISTEXT(B177),VALUE(B177),"ERREUR")))</f>
        <v/>
      </c>
      <c r="L177" s="38" t="str">
        <f>IF(COUNTIF($R$4:$R$6,C177)&gt;0,C177,IF(ISBLANK(C177),IF(ISBLANK(D177),T(C177),"ERREUR"),"ERREUR"))</f>
        <v/>
      </c>
      <c r="M177" s="49" t="str">
        <f>IF(ISBLANK(D177),IF(ISBLANK(D178),T(D177),"ERREUR"),IF(COUNTIF($T$4:$T$240,SUBSTITUTE(SUBSTITUTE(SUBSTITUTE(SUBSTITUTE(SUBSTITUTE(SUBSTITUTE(UPPER(D177),"Å","A"),"É","E"),"È","E"),"Ê","E"),"Î","I"),"Ï","I"))&gt;0,D177,IF(ISBLANK(D177),T(D177),"ERREUR")))</f>
        <v/>
      </c>
      <c r="N177" s="38" t="str">
        <f>IF(COUNTIF($V$4:$V$6,E177)&gt;0,E177,IF(ISBLANK(E177),IF(ISBLANK(E178),T(E177),"ERREUR"),"ERREUR"))</f>
        <v/>
      </c>
      <c r="O177" s="38" t="str">
        <f>IF(COUNTIF($W$4:$W$5,F177)&gt;0,F177,IF(ISBLANK(F177),IF(ISBLANK(F178),T(F177),"ERREUR"),"ERREUR"))</f>
        <v/>
      </c>
      <c r="P177" s="38" t="str">
        <f>IF(COUNTIF($X$4:$X$8,G177)&gt;0,G177,IF(ISBLANK(G177),IF(ISBLANK(G178),T(G177),"ERREUR"),"ERREUR"))</f>
        <v/>
      </c>
      <c r="Q177" s="38" t="str">
        <f>IF(ISNUMBER(H177),IF(INT(H177)=H177,H177,"ERREUR"),IF(ISBLANK(H177),IF(ISBLANK(H178),T(H177),"ERREUR"),"ERREUR"))</f>
        <v/>
      </c>
      <c r="R177" s="38"/>
      <c r="S177" s="1" t="s">
        <v>395</v>
      </c>
      <c r="T177" s="39" t="s">
        <v>396</v>
      </c>
      <c r="U177" s="38" t="str">
        <f>SUBSTITUTE(SUBSTITUTE(SUBSTITUTE(SUBSTITUTE(SUBSTITUTE(SUBSTITUTE(SUBSTITUTE(SUBSTITUTE(UPPER(S177),"Å","A"),"É","E"),"È","E"),"Ê","E"),"Ë","E"),"Î","I"),"Ï","I"),"Ô","O")</f>
        <v xml:space="preserve">PORTO RICO</v>
      </c>
      <c r="V177" s="38"/>
      <c r="W177" s="38"/>
      <c r="X177" s="53"/>
      <c r="Y177" s="42"/>
      <c r="Z177" s="42"/>
      <c r="AA177" s="42"/>
    </row>
    <row r="178" ht="13.75" customHeight="1">
      <c r="A178" s="14" t="s">
        <v>140</v>
      </c>
      <c r="B178" s="50"/>
      <c r="C178" s="43"/>
      <c r="D178" s="43"/>
      <c r="E178" s="44"/>
      <c r="F178" s="44"/>
      <c r="G178" s="44"/>
      <c r="H178" s="45"/>
      <c r="I178" s="54"/>
      <c r="J178" s="47" t="str">
        <f>IF(OR(K178="ERREUR",L178="ERREUR",M178="ERREUR",N178="ERREUR",O178="ERREUR",P178="ERREUR",Q178="ERREUR"),"ERREUR",IF(AND(K178="",L178="",M178="",N178="",O178="",P178="",Q178=""),"ligne vide",IF(OR(K178="",L178="",M178="",N178="",O178="",P178="",Q178=""),"ligne incomplète","Valide")))</f>
        <v xml:space="preserve">ligne vide</v>
      </c>
      <c r="K178" s="48" t="str">
        <f>IF(ISBLANK(B178),IF(ISBLANK(B179),T(B178),"ERREUR"),IF(ISNUMBER(B178),_xlfn.NUMBERVALUE(B178),IF(ISTEXT(B178),VALUE(B178),"ERREUR")))</f>
        <v/>
      </c>
      <c r="L178" s="38" t="str">
        <f>IF(COUNTIF($R$4:$R$6,C178)&gt;0,C178,IF(ISBLANK(C178),IF(ISBLANK(D178),T(C178),"ERREUR"),"ERREUR"))</f>
        <v/>
      </c>
      <c r="M178" s="49" t="str">
        <f>IF(ISBLANK(D178),IF(ISBLANK(D179),T(D178),"ERREUR"),IF(COUNTIF($T$4:$T$240,SUBSTITUTE(SUBSTITUTE(SUBSTITUTE(SUBSTITUTE(SUBSTITUTE(SUBSTITUTE(UPPER(D178),"Å","A"),"É","E"),"È","E"),"Ê","E"),"Î","I"),"Ï","I"))&gt;0,D178,IF(ISBLANK(D178),T(D178),"ERREUR")))</f>
        <v/>
      </c>
      <c r="N178" s="38" t="str">
        <f>IF(COUNTIF($V$4:$V$6,E178)&gt;0,E178,IF(ISBLANK(E178),IF(ISBLANK(E179),T(E178),"ERREUR"),"ERREUR"))</f>
        <v/>
      </c>
      <c r="O178" s="38" t="str">
        <f>IF(COUNTIF($W$4:$W$5,F178)&gt;0,F178,IF(ISBLANK(F178),IF(ISBLANK(F179),T(F178),"ERREUR"),"ERREUR"))</f>
        <v/>
      </c>
      <c r="P178" s="38" t="str">
        <f>IF(COUNTIF($X$4:$X$8,G178)&gt;0,G178,IF(ISBLANK(G178),IF(ISBLANK(G179),T(G178),"ERREUR"),"ERREUR"))</f>
        <v/>
      </c>
      <c r="Q178" s="38" t="str">
        <f>IF(ISNUMBER(H178),IF(INT(H178)=H178,H178,"ERREUR"),IF(ISBLANK(H178),IF(ISBLANK(H179),T(H178),"ERREUR"),"ERREUR"))</f>
        <v/>
      </c>
      <c r="R178" s="38"/>
      <c r="S178" s="1" t="s">
        <v>397</v>
      </c>
      <c r="T178" s="39" t="s">
        <v>398</v>
      </c>
      <c r="U178" s="38" t="str">
        <f>SUBSTITUTE(SUBSTITUTE(SUBSTITUTE(SUBSTITUTE(SUBSTITUTE(SUBSTITUTE(SUBSTITUTE(SUBSTITUTE(UPPER(S178),"Å","A"),"É","E"),"È","E"),"Ê","E"),"Ë","E"),"Î","I"),"Ï","I"),"Ô","O")</f>
        <v>PORTUGAL</v>
      </c>
      <c r="V178" s="38"/>
      <c r="W178" s="38"/>
      <c r="X178" s="53"/>
      <c r="Y178" s="42"/>
      <c r="Z178" s="42"/>
      <c r="AA178" s="42"/>
    </row>
    <row r="179" ht="13.75" customHeight="1">
      <c r="A179" s="14" t="s">
        <v>140</v>
      </c>
      <c r="B179" s="50"/>
      <c r="C179" s="43"/>
      <c r="D179" s="43"/>
      <c r="E179" s="44"/>
      <c r="F179" s="44"/>
      <c r="G179" s="44"/>
      <c r="H179" s="45"/>
      <c r="I179" s="54"/>
      <c r="J179" s="47" t="str">
        <f>IF(OR(K179="ERREUR",L179="ERREUR",M179="ERREUR",N179="ERREUR",O179="ERREUR",P179="ERREUR",Q179="ERREUR"),"ERREUR",IF(AND(K179="",L179="",M179="",N179="",O179="",P179="",Q179=""),"ligne vide",IF(OR(K179="",L179="",M179="",N179="",O179="",P179="",Q179=""),"ligne incomplète","Valide")))</f>
        <v xml:space="preserve">ligne vide</v>
      </c>
      <c r="K179" s="48" t="str">
        <f>IF(ISBLANK(B179),IF(ISBLANK(B180),T(B179),"ERREUR"),IF(ISNUMBER(B179),_xlfn.NUMBERVALUE(B179),IF(ISTEXT(B179),VALUE(B179),"ERREUR")))</f>
        <v/>
      </c>
      <c r="L179" s="38" t="str">
        <f>IF(COUNTIF($R$4:$R$6,C179)&gt;0,C179,IF(ISBLANK(C179),IF(ISBLANK(D179),T(C179),"ERREUR"),"ERREUR"))</f>
        <v/>
      </c>
      <c r="M179" s="49" t="str">
        <f>IF(ISBLANK(D179),IF(ISBLANK(D180),T(D179),"ERREUR"),IF(COUNTIF($T$4:$T$240,SUBSTITUTE(SUBSTITUTE(SUBSTITUTE(SUBSTITUTE(SUBSTITUTE(SUBSTITUTE(UPPER(D179),"Å","A"),"É","E"),"È","E"),"Ê","E"),"Î","I"),"Ï","I"))&gt;0,D179,IF(ISBLANK(D179),T(D179),"ERREUR")))</f>
        <v/>
      </c>
      <c r="N179" s="38" t="str">
        <f>IF(COUNTIF($V$4:$V$6,E179)&gt;0,E179,IF(ISBLANK(E179),IF(ISBLANK(E180),T(E179),"ERREUR"),"ERREUR"))</f>
        <v/>
      </c>
      <c r="O179" s="38" t="str">
        <f>IF(COUNTIF($W$4:$W$5,F179)&gt;0,F179,IF(ISBLANK(F179),IF(ISBLANK(F180),T(F179),"ERREUR"),"ERREUR"))</f>
        <v/>
      </c>
      <c r="P179" s="38" t="str">
        <f>IF(COUNTIF($X$4:$X$8,G179)&gt;0,G179,IF(ISBLANK(G179),IF(ISBLANK(G180),T(G179),"ERREUR"),"ERREUR"))</f>
        <v/>
      </c>
      <c r="Q179" s="38" t="str">
        <f>IF(ISNUMBER(H179),IF(INT(H179)=H179,H179,"ERREUR"),IF(ISBLANK(H179),IF(ISBLANK(H180),T(H179),"ERREUR"),"ERREUR"))</f>
        <v/>
      </c>
      <c r="R179" s="38"/>
      <c r="S179" s="1" t="s">
        <v>399</v>
      </c>
      <c r="T179" s="39" t="s">
        <v>400</v>
      </c>
      <c r="U179" s="38" t="str">
        <f>SUBSTITUTE(SUBSTITUTE(SUBSTITUTE(SUBSTITUTE(SUBSTITUTE(SUBSTITUTE(SUBSTITUTE(SUBSTITUTE(UPPER(S179),"Å","A"),"É","E"),"È","E"),"Ê","E"),"Ë","E"),"Î","I"),"Ï","I"),"Ô","O")</f>
        <v>QATAR</v>
      </c>
      <c r="V179" s="38"/>
      <c r="W179" s="38"/>
      <c r="X179" s="53"/>
      <c r="Y179" s="42"/>
      <c r="Z179" s="42"/>
      <c r="AA179" s="42"/>
    </row>
    <row r="180" ht="13.75" customHeight="1">
      <c r="A180" s="14" t="s">
        <v>140</v>
      </c>
      <c r="B180" s="50"/>
      <c r="C180" s="43"/>
      <c r="D180" s="43"/>
      <c r="E180" s="44"/>
      <c r="F180" s="44"/>
      <c r="G180" s="44"/>
      <c r="H180" s="45"/>
      <c r="I180" s="54"/>
      <c r="J180" s="47" t="str">
        <f>IF(OR(K180="ERREUR",L180="ERREUR",M180="ERREUR",N180="ERREUR",O180="ERREUR",P180="ERREUR",Q180="ERREUR"),"ERREUR",IF(AND(K180="",L180="",M180="",N180="",O180="",P180="",Q180=""),"ligne vide",IF(OR(K180="",L180="",M180="",N180="",O180="",P180="",Q180=""),"ligne incomplète","Valide")))</f>
        <v xml:space="preserve">ligne vide</v>
      </c>
      <c r="K180" s="48" t="str">
        <f>IF(ISBLANK(B180),IF(ISBLANK(B181),T(B180),"ERREUR"),IF(ISNUMBER(B180),_xlfn.NUMBERVALUE(B180),IF(ISTEXT(B180),VALUE(B180),"ERREUR")))</f>
        <v/>
      </c>
      <c r="L180" s="38" t="str">
        <f>IF(COUNTIF($R$4:$R$6,C180)&gt;0,C180,IF(ISBLANK(C180),IF(ISBLANK(D180),T(C180),"ERREUR"),"ERREUR"))</f>
        <v/>
      </c>
      <c r="M180" s="49" t="str">
        <f>IF(ISBLANK(D180),IF(ISBLANK(D181),T(D180),"ERREUR"),IF(COUNTIF($T$4:$T$240,SUBSTITUTE(SUBSTITUTE(SUBSTITUTE(SUBSTITUTE(SUBSTITUTE(SUBSTITUTE(UPPER(D180),"Å","A"),"É","E"),"È","E"),"Ê","E"),"Î","I"),"Ï","I"))&gt;0,D180,IF(ISBLANK(D180),T(D180),"ERREUR")))</f>
        <v/>
      </c>
      <c r="N180" s="38" t="str">
        <f>IF(COUNTIF($V$4:$V$6,E180)&gt;0,E180,IF(ISBLANK(E180),IF(ISBLANK(E181),T(E180),"ERREUR"),"ERREUR"))</f>
        <v/>
      </c>
      <c r="O180" s="38" t="str">
        <f>IF(COUNTIF($W$4:$W$5,F180)&gt;0,F180,IF(ISBLANK(F180),IF(ISBLANK(F181),T(F180),"ERREUR"),"ERREUR"))</f>
        <v/>
      </c>
      <c r="P180" s="38" t="str">
        <f>IF(COUNTIF($X$4:$X$8,G180)&gt;0,G180,IF(ISBLANK(G180),IF(ISBLANK(G181),T(G180),"ERREUR"),"ERREUR"))</f>
        <v/>
      </c>
      <c r="Q180" s="38" t="str">
        <f>IF(ISNUMBER(H180),IF(INT(H180)=H180,H180,"ERREUR"),IF(ISBLANK(H180),IF(ISBLANK(H181),T(H180),"ERREUR"),"ERREUR"))</f>
        <v/>
      </c>
      <c r="R180" s="38"/>
      <c r="S180" s="1" t="s">
        <v>401</v>
      </c>
      <c r="T180" s="39" t="s">
        <v>402</v>
      </c>
      <c r="U180" s="38" t="str">
        <f>SUBSTITUTE(SUBSTITUTE(SUBSTITUTE(SUBSTITUTE(SUBSTITUTE(SUBSTITUTE(SUBSTITUTE(SUBSTITUTE(UPPER(S180),"Å","A"),"É","E"),"È","E"),"Ê","E"),"Ë","E"),"Î","I"),"Ï","I"),"Ô","O")</f>
        <v xml:space="preserve">REPUBLIQUE CENTRAFRICAINE</v>
      </c>
      <c r="V180" s="38"/>
      <c r="W180" s="38"/>
      <c r="X180" s="53"/>
      <c r="Y180" s="42"/>
      <c r="Z180" s="42"/>
      <c r="AA180" s="42"/>
    </row>
    <row r="181" ht="13.75" customHeight="1">
      <c r="A181" s="14" t="s">
        <v>140</v>
      </c>
      <c r="B181" s="50"/>
      <c r="C181" s="43"/>
      <c r="D181" s="43"/>
      <c r="E181" s="44"/>
      <c r="F181" s="44"/>
      <c r="G181" s="44"/>
      <c r="H181" s="45"/>
      <c r="I181" s="54"/>
      <c r="J181" s="47" t="str">
        <f>IF(OR(K181="ERREUR",L181="ERREUR",M181="ERREUR",N181="ERREUR",O181="ERREUR",P181="ERREUR",Q181="ERREUR"),"ERREUR",IF(AND(K181="",L181="",M181="",N181="",O181="",P181="",Q181=""),"ligne vide",IF(OR(K181="",L181="",M181="",N181="",O181="",P181="",Q181=""),"ligne incomplète","Valide")))</f>
        <v xml:space="preserve">ligne vide</v>
      </c>
      <c r="K181" s="48" t="str">
        <f>IF(ISBLANK(B181),IF(ISBLANK(B182),T(B181),"ERREUR"),IF(ISNUMBER(B181),_xlfn.NUMBERVALUE(B181),IF(ISTEXT(B181),VALUE(B181),"ERREUR")))</f>
        <v/>
      </c>
      <c r="L181" s="38" t="str">
        <f>IF(COUNTIF($R$4:$R$6,C181)&gt;0,C181,IF(ISBLANK(C181),IF(ISBLANK(D181),T(C181),"ERREUR"),"ERREUR"))</f>
        <v/>
      </c>
      <c r="M181" s="49" t="str">
        <f>IF(ISBLANK(D181),IF(ISBLANK(D182),T(D181),"ERREUR"),IF(COUNTIF($T$4:$T$240,SUBSTITUTE(SUBSTITUTE(SUBSTITUTE(SUBSTITUTE(SUBSTITUTE(SUBSTITUTE(UPPER(D181),"Å","A"),"É","E"),"È","E"),"Ê","E"),"Î","I"),"Ï","I"))&gt;0,D181,IF(ISBLANK(D181),T(D181),"ERREUR")))</f>
        <v/>
      </c>
      <c r="N181" s="38" t="str">
        <f>IF(COUNTIF($V$4:$V$6,E181)&gt;0,E181,IF(ISBLANK(E181),IF(ISBLANK(E182),T(E181),"ERREUR"),"ERREUR"))</f>
        <v/>
      </c>
      <c r="O181" s="38" t="str">
        <f>IF(COUNTIF($W$4:$W$5,F181)&gt;0,F181,IF(ISBLANK(F181),IF(ISBLANK(F182),T(F181),"ERREUR"),"ERREUR"))</f>
        <v/>
      </c>
      <c r="P181" s="38" t="str">
        <f>IF(COUNTIF($X$4:$X$8,G181)&gt;0,G181,IF(ISBLANK(G181),IF(ISBLANK(G182),T(G181),"ERREUR"),"ERREUR"))</f>
        <v/>
      </c>
      <c r="Q181" s="38" t="str">
        <f>IF(ISNUMBER(H181),IF(INT(H181)=H181,H181,"ERREUR"),IF(ISBLANK(H181),IF(ISBLANK(H182),T(H181),"ERREUR"),"ERREUR"))</f>
        <v/>
      </c>
      <c r="R181" s="38"/>
      <c r="S181" s="1" t="s">
        <v>403</v>
      </c>
      <c r="T181" s="39" t="s">
        <v>404</v>
      </c>
      <c r="U181" s="38" t="str">
        <f>SUBSTITUTE(SUBSTITUTE(SUBSTITUTE(SUBSTITUTE(SUBSTITUTE(SUBSTITUTE(SUBSTITUTE(SUBSTITUTE(UPPER(S181),"Å","A"),"É","E"),"È","E"),"Ê","E"),"Ë","E"),"Î","I"),"Ï","I"),"Ô","O")</f>
        <v xml:space="preserve">REPUBLIQUE DEMOCRATIQUE DU CONGO</v>
      </c>
      <c r="V181" s="38"/>
      <c r="W181" s="38"/>
      <c r="X181" s="53"/>
      <c r="Y181" s="42"/>
      <c r="Z181" s="42"/>
      <c r="AA181" s="42"/>
    </row>
    <row r="182" ht="13.75" customHeight="1">
      <c r="A182" s="14" t="s">
        <v>140</v>
      </c>
      <c r="B182" s="50"/>
      <c r="C182" s="43"/>
      <c r="D182" s="43"/>
      <c r="E182" s="44"/>
      <c r="F182" s="44"/>
      <c r="G182" s="44"/>
      <c r="H182" s="45"/>
      <c r="I182" s="54"/>
      <c r="J182" s="47" t="str">
        <f>IF(OR(K182="ERREUR",L182="ERREUR",M182="ERREUR",N182="ERREUR",O182="ERREUR",P182="ERREUR",Q182="ERREUR"),"ERREUR",IF(AND(K182="",L182="",M182="",N182="",O182="",P182="",Q182=""),"ligne vide",IF(OR(K182="",L182="",M182="",N182="",O182="",P182="",Q182=""),"ligne incomplète","Valide")))</f>
        <v xml:space="preserve">ligne vide</v>
      </c>
      <c r="K182" s="48" t="str">
        <f>IF(ISBLANK(B182),IF(ISBLANK(B183),T(B182),"ERREUR"),IF(ISNUMBER(B182),_xlfn.NUMBERVALUE(B182),IF(ISTEXT(B182),VALUE(B182),"ERREUR")))</f>
        <v/>
      </c>
      <c r="L182" s="38" t="str">
        <f>IF(COUNTIF($R$4:$R$6,C182)&gt;0,C182,IF(ISBLANK(C182),IF(ISBLANK(D182),T(C182),"ERREUR"),"ERREUR"))</f>
        <v/>
      </c>
      <c r="M182" s="49" t="str">
        <f>IF(ISBLANK(D182),IF(ISBLANK(D183),T(D182),"ERREUR"),IF(COUNTIF($T$4:$T$240,SUBSTITUTE(SUBSTITUTE(SUBSTITUTE(SUBSTITUTE(SUBSTITUTE(SUBSTITUTE(UPPER(D182),"Å","A"),"É","E"),"È","E"),"Ê","E"),"Î","I"),"Ï","I"))&gt;0,D182,IF(ISBLANK(D182),T(D182),"ERREUR")))</f>
        <v/>
      </c>
      <c r="N182" s="38" t="str">
        <f>IF(COUNTIF($V$4:$V$6,E182)&gt;0,E182,IF(ISBLANK(E182),IF(ISBLANK(E183),T(E182),"ERREUR"),"ERREUR"))</f>
        <v/>
      </c>
      <c r="O182" s="38" t="str">
        <f>IF(COUNTIF($W$4:$W$5,F182)&gt;0,F182,IF(ISBLANK(F182),IF(ISBLANK(F183),T(F182),"ERREUR"),"ERREUR"))</f>
        <v/>
      </c>
      <c r="P182" s="38" t="str">
        <f>IF(COUNTIF($X$4:$X$8,G182)&gt;0,G182,IF(ISBLANK(G182),IF(ISBLANK(G183),T(G182),"ERREUR"),"ERREUR"))</f>
        <v/>
      </c>
      <c r="Q182" s="38" t="str">
        <f>IF(ISNUMBER(H182),IF(INT(H182)=H182,H182,"ERREUR"),IF(ISBLANK(H182),IF(ISBLANK(H183),T(H182),"ERREUR"),"ERREUR"))</f>
        <v/>
      </c>
      <c r="R182" s="38"/>
      <c r="S182" s="1" t="s">
        <v>405</v>
      </c>
      <c r="T182" s="39" t="s">
        <v>406</v>
      </c>
      <c r="U182" s="38" t="str">
        <f>SUBSTITUTE(SUBSTITUTE(SUBSTITUTE(SUBSTITUTE(SUBSTITUTE(SUBSTITUTE(SUBSTITUTE(SUBSTITUTE(UPPER(S182),"Å","A"),"É","E"),"È","E"),"Ê","E"),"Ë","E"),"Î","I"),"Ï","I"),"Ô","O")</f>
        <v xml:space="preserve">REPUBLIQUE DOMINICAINE</v>
      </c>
      <c r="V182" s="38"/>
      <c r="W182" s="38"/>
      <c r="X182" s="53"/>
      <c r="Y182" s="42"/>
      <c r="Z182" s="42"/>
      <c r="AA182" s="42"/>
    </row>
    <row r="183" ht="13.75" customHeight="1">
      <c r="A183" s="14" t="s">
        <v>140</v>
      </c>
      <c r="B183" s="50"/>
      <c r="C183" s="43"/>
      <c r="D183" s="43"/>
      <c r="E183" s="44"/>
      <c r="F183" s="44"/>
      <c r="G183" s="44"/>
      <c r="H183" s="45"/>
      <c r="I183" s="54"/>
      <c r="J183" s="47" t="str">
        <f>IF(OR(K183="ERREUR",L183="ERREUR",M183="ERREUR",N183="ERREUR",O183="ERREUR",P183="ERREUR",Q183="ERREUR"),"ERREUR",IF(AND(K183="",L183="",M183="",N183="",O183="",P183="",Q183=""),"ligne vide",IF(OR(K183="",L183="",M183="",N183="",O183="",P183="",Q183=""),"ligne incomplète","Valide")))</f>
        <v xml:space="preserve">ligne vide</v>
      </c>
      <c r="K183" s="48" t="str">
        <f>IF(ISBLANK(B183),IF(ISBLANK(B184),T(B183),"ERREUR"),IF(ISNUMBER(B183),_xlfn.NUMBERVALUE(B183),IF(ISTEXT(B183),VALUE(B183),"ERREUR")))</f>
        <v/>
      </c>
      <c r="L183" s="38" t="str">
        <f>IF(COUNTIF($R$4:$R$6,C183)&gt;0,C183,IF(ISBLANK(C183),IF(ISBLANK(D183),T(C183),"ERREUR"),"ERREUR"))</f>
        <v/>
      </c>
      <c r="M183" s="49" t="str">
        <f>IF(ISBLANK(D183),IF(ISBLANK(D184),T(D183),"ERREUR"),IF(COUNTIF($T$4:$T$240,SUBSTITUTE(SUBSTITUTE(SUBSTITUTE(SUBSTITUTE(SUBSTITUTE(SUBSTITUTE(UPPER(D183),"Å","A"),"É","E"),"È","E"),"Ê","E"),"Î","I"),"Ï","I"))&gt;0,D183,IF(ISBLANK(D183),T(D183),"ERREUR")))</f>
        <v/>
      </c>
      <c r="N183" s="38" t="str">
        <f>IF(COUNTIF($V$4:$V$6,E183)&gt;0,E183,IF(ISBLANK(E183),IF(ISBLANK(E184),T(E183),"ERREUR"),"ERREUR"))</f>
        <v/>
      </c>
      <c r="O183" s="38" t="str">
        <f>IF(COUNTIF($W$4:$W$5,F183)&gt;0,F183,IF(ISBLANK(F183),IF(ISBLANK(F184),T(F183),"ERREUR"),"ERREUR"))</f>
        <v/>
      </c>
      <c r="P183" s="38" t="str">
        <f>IF(COUNTIF($X$4:$X$8,G183)&gt;0,G183,IF(ISBLANK(G183),IF(ISBLANK(G184),T(G183),"ERREUR"),"ERREUR"))</f>
        <v/>
      </c>
      <c r="Q183" s="38" t="str">
        <f>IF(ISNUMBER(H183),IF(INT(H183)=H183,H183,"ERREUR"),IF(ISBLANK(H183),IF(ISBLANK(H184),T(H183),"ERREUR"),"ERREUR"))</f>
        <v/>
      </c>
      <c r="R183" s="38"/>
      <c r="S183" s="1" t="s">
        <v>407</v>
      </c>
      <c r="T183" s="39" t="s">
        <v>408</v>
      </c>
      <c r="U183" s="38" t="str">
        <f>SUBSTITUTE(SUBSTITUTE(SUBSTITUTE(SUBSTITUTE(SUBSTITUTE(SUBSTITUTE(SUBSTITUTE(SUBSTITUTE(UPPER(S183),"Å","A"),"É","E"),"È","E"),"Ê","E"),"Ë","E"),"Î","I"),"Ï","I"),"Ô","O")</f>
        <v xml:space="preserve">REPUBLIQUE DU CONGO</v>
      </c>
      <c r="V183" s="38"/>
      <c r="W183" s="38"/>
      <c r="X183" s="53"/>
      <c r="Y183" s="42"/>
      <c r="Z183" s="42"/>
      <c r="AA183" s="42"/>
    </row>
    <row r="184" ht="13.75" customHeight="1">
      <c r="A184" s="14" t="s">
        <v>140</v>
      </c>
      <c r="B184" s="50"/>
      <c r="C184" s="43"/>
      <c r="D184" s="43"/>
      <c r="E184" s="44"/>
      <c r="F184" s="44"/>
      <c r="G184" s="44"/>
      <c r="H184" s="45"/>
      <c r="I184" s="54"/>
      <c r="J184" s="47" t="str">
        <f>IF(OR(K184="ERREUR",L184="ERREUR",M184="ERREUR",N184="ERREUR",O184="ERREUR",P184="ERREUR",Q184="ERREUR"),"ERREUR",IF(AND(K184="",L184="",M184="",N184="",O184="",P184="",Q184=""),"ligne vide",IF(OR(K184="",L184="",M184="",N184="",O184="",P184="",Q184=""),"ligne incomplète","Valide")))</f>
        <v xml:space="preserve">ligne vide</v>
      </c>
      <c r="K184" s="48" t="str">
        <f>IF(ISBLANK(B184),IF(ISBLANK(B185),T(B184),"ERREUR"),IF(ISNUMBER(B184),_xlfn.NUMBERVALUE(B184),IF(ISTEXT(B184),VALUE(B184),"ERREUR")))</f>
        <v/>
      </c>
      <c r="L184" s="38" t="str">
        <f>IF(COUNTIF($R$4:$R$6,C184)&gt;0,C184,IF(ISBLANK(C184),IF(ISBLANK(D184),T(C184),"ERREUR"),"ERREUR"))</f>
        <v/>
      </c>
      <c r="M184" s="49" t="str">
        <f>IF(ISBLANK(D184),IF(ISBLANK(D185),T(D184),"ERREUR"),IF(COUNTIF($T$4:$T$240,SUBSTITUTE(SUBSTITUTE(SUBSTITUTE(SUBSTITUTE(SUBSTITUTE(SUBSTITUTE(UPPER(D184),"Å","A"),"É","E"),"È","E"),"Ê","E"),"Î","I"),"Ï","I"))&gt;0,D184,IF(ISBLANK(D184),T(D184),"ERREUR")))</f>
        <v/>
      </c>
      <c r="N184" s="38" t="str">
        <f>IF(COUNTIF($V$4:$V$6,E184)&gt;0,E184,IF(ISBLANK(E184),IF(ISBLANK(E185),T(E184),"ERREUR"),"ERREUR"))</f>
        <v/>
      </c>
      <c r="O184" s="38" t="str">
        <f>IF(COUNTIF($W$4:$W$5,F184)&gt;0,F184,IF(ISBLANK(F184),IF(ISBLANK(F185),T(F184),"ERREUR"),"ERREUR"))</f>
        <v/>
      </c>
      <c r="P184" s="38" t="str">
        <f>IF(COUNTIF($X$4:$X$8,G184)&gt;0,G184,IF(ISBLANK(G184),IF(ISBLANK(G185),T(G184),"ERREUR"),"ERREUR"))</f>
        <v/>
      </c>
      <c r="Q184" s="38" t="str">
        <f>IF(ISNUMBER(H184),IF(INT(H184)=H184,H184,"ERREUR"),IF(ISBLANK(H184),IF(ISBLANK(H185),T(H184),"ERREUR"),"ERREUR"))</f>
        <v/>
      </c>
      <c r="R184" s="38"/>
      <c r="S184" s="1" t="s">
        <v>409</v>
      </c>
      <c r="T184" s="39" t="s">
        <v>410</v>
      </c>
      <c r="U184" s="38" t="str">
        <f>SUBSTITUTE(SUBSTITUTE(SUBSTITUTE(SUBSTITUTE(SUBSTITUTE(SUBSTITUTE(SUBSTITUTE(SUBSTITUTE(UPPER(S184),"Å","A"),"É","E"),"È","E"),"Ê","E"),"Ë","E"),"Î","I"),"Ï","I"),"Ô","O")</f>
        <v>ROUMANIE</v>
      </c>
      <c r="V184" s="38"/>
      <c r="W184" s="38"/>
      <c r="X184" s="53"/>
      <c r="Y184" s="42"/>
      <c r="Z184" s="42"/>
      <c r="AA184" s="42"/>
    </row>
    <row r="185" ht="13.75" customHeight="1">
      <c r="A185" s="14" t="s">
        <v>140</v>
      </c>
      <c r="B185" s="50"/>
      <c r="C185" s="43"/>
      <c r="D185" s="43"/>
      <c r="E185" s="44"/>
      <c r="F185" s="44"/>
      <c r="G185" s="44"/>
      <c r="H185" s="45"/>
      <c r="I185" s="54"/>
      <c r="J185" s="47" t="str">
        <f>IF(OR(K185="ERREUR",L185="ERREUR",M185="ERREUR",N185="ERREUR",O185="ERREUR",P185="ERREUR",Q185="ERREUR"),"ERREUR",IF(AND(K185="",L185="",M185="",N185="",O185="",P185="",Q185=""),"ligne vide",IF(OR(K185="",L185="",M185="",N185="",O185="",P185="",Q185=""),"ligne incomplète","Valide")))</f>
        <v xml:space="preserve">ligne vide</v>
      </c>
      <c r="K185" s="48" t="str">
        <f>IF(ISBLANK(B185),IF(ISBLANK(B186),T(B185),"ERREUR"),IF(ISNUMBER(B185),_xlfn.NUMBERVALUE(B185),IF(ISTEXT(B185),VALUE(B185),"ERREUR")))</f>
        <v/>
      </c>
      <c r="L185" s="38" t="str">
        <f>IF(COUNTIF($R$4:$R$6,C185)&gt;0,C185,IF(ISBLANK(C185),IF(ISBLANK(D185),T(C185),"ERREUR"),"ERREUR"))</f>
        <v/>
      </c>
      <c r="M185" s="49" t="str">
        <f>IF(ISBLANK(D185),IF(ISBLANK(D186),T(D185),"ERREUR"),IF(COUNTIF($T$4:$T$240,SUBSTITUTE(SUBSTITUTE(SUBSTITUTE(SUBSTITUTE(SUBSTITUTE(SUBSTITUTE(UPPER(D185),"Å","A"),"É","E"),"È","E"),"Ê","E"),"Î","I"),"Ï","I"))&gt;0,D185,IF(ISBLANK(D185),T(D185),"ERREUR")))</f>
        <v/>
      </c>
      <c r="N185" s="38" t="str">
        <f>IF(COUNTIF($V$4:$V$6,E185)&gt;0,E185,IF(ISBLANK(E185),IF(ISBLANK(E186),T(E185),"ERREUR"),"ERREUR"))</f>
        <v/>
      </c>
      <c r="O185" s="38" t="str">
        <f>IF(COUNTIF($W$4:$W$5,F185)&gt;0,F185,IF(ISBLANK(F185),IF(ISBLANK(F186),T(F185),"ERREUR"),"ERREUR"))</f>
        <v/>
      </c>
      <c r="P185" s="38" t="str">
        <f>IF(COUNTIF($X$4:$X$8,G185)&gt;0,G185,IF(ISBLANK(G185),IF(ISBLANK(G186),T(G185),"ERREUR"),"ERREUR"))</f>
        <v/>
      </c>
      <c r="Q185" s="38" t="str">
        <f>IF(ISNUMBER(H185),IF(INT(H185)=H185,H185,"ERREUR"),IF(ISBLANK(H185),IF(ISBLANK(H186),T(H185),"ERREUR"),"ERREUR"))</f>
        <v/>
      </c>
      <c r="R185" s="38"/>
      <c r="S185" s="1" t="s">
        <v>411</v>
      </c>
      <c r="T185" s="39" t="s">
        <v>412</v>
      </c>
      <c r="U185" s="38" t="str">
        <f>SUBSTITUTE(SUBSTITUTE(SUBSTITUTE(SUBSTITUTE(SUBSTITUTE(SUBSTITUTE(SUBSTITUTE(SUBSTITUTE(UPPER(S185),"Å","A"),"É","E"),"È","E"),"Ê","E"),"Ë","E"),"Î","I"),"Ï","I"),"Ô","O")</f>
        <v>ROYAUME-UNI</v>
      </c>
      <c r="V185" s="38"/>
      <c r="W185" s="38"/>
      <c r="X185" s="53"/>
      <c r="Y185" s="42"/>
      <c r="Z185" s="42"/>
      <c r="AA185" s="42"/>
    </row>
    <row r="186" ht="13.75" customHeight="1">
      <c r="A186" s="14" t="s">
        <v>140</v>
      </c>
      <c r="B186" s="50"/>
      <c r="C186" s="43"/>
      <c r="D186" s="43"/>
      <c r="E186" s="44"/>
      <c r="F186" s="44"/>
      <c r="G186" s="44"/>
      <c r="H186" s="45"/>
      <c r="I186" s="54"/>
      <c r="J186" s="47" t="str">
        <f>IF(OR(K186="ERREUR",L186="ERREUR",M186="ERREUR",N186="ERREUR",O186="ERREUR",P186="ERREUR",Q186="ERREUR"),"ERREUR",IF(AND(K186="",L186="",M186="",N186="",O186="",P186="",Q186=""),"ligne vide",IF(OR(K186="",L186="",M186="",N186="",O186="",P186="",Q186=""),"ligne incomplète","Valide")))</f>
        <v xml:space="preserve">ligne vide</v>
      </c>
      <c r="K186" s="48" t="str">
        <f>IF(ISBLANK(B186),IF(ISBLANK(B187),T(B186),"ERREUR"),IF(ISNUMBER(B186),_xlfn.NUMBERVALUE(B186),IF(ISTEXT(B186),VALUE(B186),"ERREUR")))</f>
        <v/>
      </c>
      <c r="L186" s="38" t="str">
        <f>IF(COUNTIF($R$4:$R$6,C186)&gt;0,C186,IF(ISBLANK(C186),IF(ISBLANK(D186),T(C186),"ERREUR"),"ERREUR"))</f>
        <v/>
      </c>
      <c r="M186" s="49" t="str">
        <f>IF(ISBLANK(D186),IF(ISBLANK(D187),T(D186),"ERREUR"),IF(COUNTIF($T$4:$T$240,SUBSTITUTE(SUBSTITUTE(SUBSTITUTE(SUBSTITUTE(SUBSTITUTE(SUBSTITUTE(UPPER(D186),"Å","A"),"É","E"),"È","E"),"Ê","E"),"Î","I"),"Ï","I"))&gt;0,D186,IF(ISBLANK(D186),T(D186),"ERREUR")))</f>
        <v/>
      </c>
      <c r="N186" s="38" t="str">
        <f>IF(COUNTIF($V$4:$V$6,E186)&gt;0,E186,IF(ISBLANK(E186),IF(ISBLANK(E187),T(E186),"ERREUR"),"ERREUR"))</f>
        <v/>
      </c>
      <c r="O186" s="38" t="str">
        <f>IF(COUNTIF($W$4:$W$5,F186)&gt;0,F186,IF(ISBLANK(F186),IF(ISBLANK(F187),T(F186),"ERREUR"),"ERREUR"))</f>
        <v/>
      </c>
      <c r="P186" s="38" t="str">
        <f>IF(COUNTIF($X$4:$X$8,G186)&gt;0,G186,IF(ISBLANK(G186),IF(ISBLANK(G187),T(G186),"ERREUR"),"ERREUR"))</f>
        <v/>
      </c>
      <c r="Q186" s="38" t="str">
        <f>IF(ISNUMBER(H186),IF(INT(H186)=H186,H186,"ERREUR"),IF(ISBLANK(H186),IF(ISBLANK(H187),T(H186),"ERREUR"),"ERREUR"))</f>
        <v/>
      </c>
      <c r="R186" s="38"/>
      <c r="S186" s="1" t="s">
        <v>413</v>
      </c>
      <c r="T186" s="39" t="s">
        <v>414</v>
      </c>
      <c r="U186" s="38" t="str">
        <f>SUBSTITUTE(SUBSTITUTE(SUBSTITUTE(SUBSTITUTE(SUBSTITUTE(SUBSTITUTE(SUBSTITUTE(SUBSTITUTE(UPPER(S186),"Å","A"),"É","E"),"È","E"),"Ê","E"),"Ë","E"),"Î","I"),"Ï","I"),"Ô","O")</f>
        <v xml:space="preserve">RUSSIE, FEDERATION DE</v>
      </c>
      <c r="V186" s="38"/>
      <c r="W186" s="38"/>
      <c r="X186" s="53"/>
      <c r="Y186" s="42"/>
      <c r="Z186" s="42"/>
      <c r="AA186" s="42"/>
    </row>
    <row r="187" ht="13.75" customHeight="1">
      <c r="A187" s="14" t="s">
        <v>140</v>
      </c>
      <c r="B187" s="50"/>
      <c r="C187" s="43"/>
      <c r="D187" s="43"/>
      <c r="E187" s="44"/>
      <c r="F187" s="44"/>
      <c r="G187" s="44"/>
      <c r="H187" s="45"/>
      <c r="I187" s="54"/>
      <c r="J187" s="47" t="str">
        <f>IF(OR(K187="ERREUR",L187="ERREUR",M187="ERREUR",N187="ERREUR",O187="ERREUR",P187="ERREUR",Q187="ERREUR"),"ERREUR",IF(AND(K187="",L187="",M187="",N187="",O187="",P187="",Q187=""),"ligne vide",IF(OR(K187="",L187="",M187="",N187="",O187="",P187="",Q187=""),"ligne incomplète","Valide")))</f>
        <v xml:space="preserve">ligne vide</v>
      </c>
      <c r="K187" s="48" t="str">
        <f>IF(ISBLANK(B187),IF(ISBLANK(B188),T(B187),"ERREUR"),IF(ISNUMBER(B187),_xlfn.NUMBERVALUE(B187),IF(ISTEXT(B187),VALUE(B187),"ERREUR")))</f>
        <v/>
      </c>
      <c r="L187" s="38" t="str">
        <f>IF(COUNTIF($R$4:$R$6,C187)&gt;0,C187,IF(ISBLANK(C187),IF(ISBLANK(D187),T(C187),"ERREUR"),"ERREUR"))</f>
        <v/>
      </c>
      <c r="M187" s="49" t="str">
        <f>IF(ISBLANK(D187),IF(ISBLANK(D188),T(D187),"ERREUR"),IF(COUNTIF($T$4:$T$240,SUBSTITUTE(SUBSTITUTE(SUBSTITUTE(SUBSTITUTE(SUBSTITUTE(SUBSTITUTE(UPPER(D187),"Å","A"),"É","E"),"È","E"),"Ê","E"),"Î","I"),"Ï","I"))&gt;0,D187,IF(ISBLANK(D187),T(D187),"ERREUR")))</f>
        <v/>
      </c>
      <c r="N187" s="38" t="str">
        <f>IF(COUNTIF($V$4:$V$6,E187)&gt;0,E187,IF(ISBLANK(E187),IF(ISBLANK(E188),T(E187),"ERREUR"),"ERREUR"))</f>
        <v/>
      </c>
      <c r="O187" s="38" t="str">
        <f>IF(COUNTIF($W$4:$W$5,F187)&gt;0,F187,IF(ISBLANK(F187),IF(ISBLANK(F188),T(F187),"ERREUR"),"ERREUR"))</f>
        <v/>
      </c>
      <c r="P187" s="38" t="str">
        <f>IF(COUNTIF($X$4:$X$8,G187)&gt;0,G187,IF(ISBLANK(G187),IF(ISBLANK(G188),T(G187),"ERREUR"),"ERREUR"))</f>
        <v/>
      </c>
      <c r="Q187" s="38" t="str">
        <f>IF(ISNUMBER(H187),IF(INT(H187)=H187,H187,"ERREUR"),IF(ISBLANK(H187),IF(ISBLANK(H188),T(H187),"ERREUR"),"ERREUR"))</f>
        <v/>
      </c>
      <c r="R187" s="38"/>
      <c r="S187" s="1" t="s">
        <v>415</v>
      </c>
      <c r="T187" s="39" t="s">
        <v>416</v>
      </c>
      <c r="U187" s="38" t="str">
        <f>SUBSTITUTE(SUBSTITUTE(SUBSTITUTE(SUBSTITUTE(SUBSTITUTE(SUBSTITUTE(SUBSTITUTE(SUBSTITUTE(UPPER(S187),"Å","A"),"É","E"),"È","E"),"Ê","E"),"Ë","E"),"Î","I"),"Ï","I"),"Ô","O")</f>
        <v>RWANDA</v>
      </c>
      <c r="V187" s="38"/>
      <c r="W187" s="38"/>
      <c r="X187" s="53"/>
      <c r="Y187" s="42"/>
      <c r="Z187" s="42"/>
      <c r="AA187" s="42"/>
    </row>
    <row r="188" ht="13.75" customHeight="1">
      <c r="A188" s="14" t="s">
        <v>140</v>
      </c>
      <c r="B188" s="50"/>
      <c r="C188" s="43"/>
      <c r="D188" s="43"/>
      <c r="E188" s="44"/>
      <c r="F188" s="44"/>
      <c r="G188" s="44"/>
      <c r="H188" s="45"/>
      <c r="I188" s="54"/>
      <c r="J188" s="47" t="str">
        <f>IF(OR(K188="ERREUR",L188="ERREUR",M188="ERREUR",N188="ERREUR",O188="ERREUR",P188="ERREUR",Q188="ERREUR"),"ERREUR",IF(AND(K188="",L188="",M188="",N188="",O188="",P188="",Q188=""),"ligne vide",IF(OR(K188="",L188="",M188="",N188="",O188="",P188="",Q188=""),"ligne incomplète","Valide")))</f>
        <v xml:space="preserve">ligne vide</v>
      </c>
      <c r="K188" s="48" t="str">
        <f>IF(ISBLANK(B188),IF(ISBLANK(B189),T(B188),"ERREUR"),IF(ISNUMBER(B188),_xlfn.NUMBERVALUE(B188),IF(ISTEXT(B188),VALUE(B188),"ERREUR")))</f>
        <v/>
      </c>
      <c r="L188" s="38" t="str">
        <f>IF(COUNTIF($R$4:$R$6,C188)&gt;0,C188,IF(ISBLANK(C188),IF(ISBLANK(D188),T(C188),"ERREUR"),"ERREUR"))</f>
        <v/>
      </c>
      <c r="M188" s="49" t="str">
        <f>IF(ISBLANK(D188),IF(ISBLANK(D189),T(D188),"ERREUR"),IF(COUNTIF($T$4:$T$240,SUBSTITUTE(SUBSTITUTE(SUBSTITUTE(SUBSTITUTE(SUBSTITUTE(SUBSTITUTE(UPPER(D188),"Å","A"),"É","E"),"È","E"),"Ê","E"),"Î","I"),"Ï","I"))&gt;0,D188,IF(ISBLANK(D188),T(D188),"ERREUR")))</f>
        <v/>
      </c>
      <c r="N188" s="38" t="str">
        <f>IF(COUNTIF($V$4:$V$6,E188)&gt;0,E188,IF(ISBLANK(E188),IF(ISBLANK(E189),T(E188),"ERREUR"),"ERREUR"))</f>
        <v/>
      </c>
      <c r="O188" s="38" t="str">
        <f>IF(COUNTIF($W$4:$W$5,F188)&gt;0,F188,IF(ISBLANK(F188),IF(ISBLANK(F189),T(F188),"ERREUR"),"ERREUR"))</f>
        <v/>
      </c>
      <c r="P188" s="38" t="str">
        <f>IF(COUNTIF($X$4:$X$8,G188)&gt;0,G188,IF(ISBLANK(G188),IF(ISBLANK(G189),T(G188),"ERREUR"),"ERREUR"))</f>
        <v/>
      </c>
      <c r="Q188" s="38" t="str">
        <f>IF(ISNUMBER(H188),IF(INT(H188)=H188,H188,"ERREUR"),IF(ISBLANK(H188),IF(ISBLANK(H189),T(H188),"ERREUR"),"ERREUR"))</f>
        <v/>
      </c>
      <c r="R188" s="38"/>
      <c r="S188" s="1" t="s">
        <v>417</v>
      </c>
      <c r="T188" s="39" t="s">
        <v>418</v>
      </c>
      <c r="U188" s="38" t="str">
        <f>SUBSTITUTE(SUBSTITUTE(SUBSTITUTE(SUBSTITUTE(SUBSTITUTE(SUBSTITUTE(SUBSTITUTE(SUBSTITUTE(UPPER(S188),"Å","A"),"É","E"),"È","E"),"Ê","E"),"Ë","E"),"Î","I"),"Ï","I"),"Ô","O")</f>
        <v xml:space="preserve">SAHARA OCCIDENTAL</v>
      </c>
      <c r="V188" s="38"/>
      <c r="W188" s="38"/>
      <c r="X188" s="53"/>
      <c r="Y188" s="42"/>
      <c r="Z188" s="42"/>
      <c r="AA188" s="42"/>
    </row>
    <row r="189" ht="13.75" customHeight="1">
      <c r="A189" s="14" t="s">
        <v>140</v>
      </c>
      <c r="B189" s="50"/>
      <c r="C189" s="43"/>
      <c r="D189" s="43"/>
      <c r="E189" s="44"/>
      <c r="F189" s="44"/>
      <c r="G189" s="44"/>
      <c r="H189" s="45"/>
      <c r="I189" s="54"/>
      <c r="J189" s="47" t="str">
        <f>IF(OR(K189="ERREUR",L189="ERREUR",M189="ERREUR",N189="ERREUR",O189="ERREUR",P189="ERREUR",Q189="ERREUR"),"ERREUR",IF(AND(K189="",L189="",M189="",N189="",O189="",P189="",Q189=""),"ligne vide",IF(OR(K189="",L189="",M189="",N189="",O189="",P189="",Q189=""),"ligne incomplète","Valide")))</f>
        <v xml:space="preserve">ligne vide</v>
      </c>
      <c r="K189" s="48" t="str">
        <f>IF(ISBLANK(B189),IF(ISBLANK(B190),T(B189),"ERREUR"),IF(ISNUMBER(B189),_xlfn.NUMBERVALUE(B189),IF(ISTEXT(B189),VALUE(B189),"ERREUR")))</f>
        <v/>
      </c>
      <c r="L189" s="38" t="str">
        <f>IF(COUNTIF($R$4:$R$6,C189)&gt;0,C189,IF(ISBLANK(C189),IF(ISBLANK(D189),T(C189),"ERREUR"),"ERREUR"))</f>
        <v/>
      </c>
      <c r="M189" s="49" t="str">
        <f>IF(ISBLANK(D189),IF(ISBLANK(D190),T(D189),"ERREUR"),IF(COUNTIF($T$4:$T$240,SUBSTITUTE(SUBSTITUTE(SUBSTITUTE(SUBSTITUTE(SUBSTITUTE(SUBSTITUTE(UPPER(D189),"Å","A"),"É","E"),"È","E"),"Ê","E"),"Î","I"),"Ï","I"))&gt;0,D189,IF(ISBLANK(D189),T(D189),"ERREUR")))</f>
        <v/>
      </c>
      <c r="N189" s="38" t="str">
        <f>IF(COUNTIF($V$4:$V$6,E189)&gt;0,E189,IF(ISBLANK(E189),IF(ISBLANK(E190),T(E189),"ERREUR"),"ERREUR"))</f>
        <v/>
      </c>
      <c r="O189" s="38" t="str">
        <f>IF(COUNTIF($W$4:$W$5,F189)&gt;0,F189,IF(ISBLANK(F189),IF(ISBLANK(F190),T(F189),"ERREUR"),"ERREUR"))</f>
        <v/>
      </c>
      <c r="P189" s="38" t="str">
        <f>IF(COUNTIF($X$4:$X$8,G189)&gt;0,G189,IF(ISBLANK(G189),IF(ISBLANK(G190),T(G189),"ERREUR"),"ERREUR"))</f>
        <v/>
      </c>
      <c r="Q189" s="38" t="str">
        <f>IF(ISNUMBER(H189),IF(INT(H189)=H189,H189,"ERREUR"),IF(ISBLANK(H189),IF(ISBLANK(H190),T(H189),"ERREUR"),"ERREUR"))</f>
        <v/>
      </c>
      <c r="R189" s="38"/>
      <c r="S189" s="1" t="s">
        <v>419</v>
      </c>
      <c r="T189" s="39" t="s">
        <v>420</v>
      </c>
      <c r="U189" s="38" t="str">
        <f>SUBSTITUTE(SUBSTITUTE(SUBSTITUTE(SUBSTITUTE(SUBSTITUTE(SUBSTITUTE(SUBSTITUTE(SUBSTITUTE(UPPER(S189),"Å","A"),"É","E"),"È","E"),"Ê","E"),"Ë","E"),"Î","I"),"Ï","I"),"Ô","O")</f>
        <v>SAINT-CHRISTOPHE-ET-NIEVES</v>
      </c>
      <c r="V189" s="38"/>
      <c r="W189" s="38"/>
      <c r="X189" s="53"/>
      <c r="Y189" s="42"/>
      <c r="Z189" s="42"/>
      <c r="AA189" s="42"/>
    </row>
    <row r="190" ht="13.75" customHeight="1">
      <c r="A190" s="14" t="s">
        <v>140</v>
      </c>
      <c r="B190" s="50"/>
      <c r="C190" s="43"/>
      <c r="D190" s="43"/>
      <c r="E190" s="44"/>
      <c r="F190" s="44"/>
      <c r="G190" s="44"/>
      <c r="H190" s="45"/>
      <c r="I190" s="54"/>
      <c r="J190" s="47" t="str">
        <f>IF(OR(K190="ERREUR",L190="ERREUR",M190="ERREUR",N190="ERREUR",O190="ERREUR",P190="ERREUR",Q190="ERREUR"),"ERREUR",IF(AND(K190="",L190="",M190="",N190="",O190="",P190="",Q190=""),"ligne vide",IF(OR(K190="",L190="",M190="",N190="",O190="",P190="",Q190=""),"ligne incomplète","Valide")))</f>
        <v xml:space="preserve">ligne vide</v>
      </c>
      <c r="K190" s="48" t="str">
        <f>IF(ISBLANK(B190),IF(ISBLANK(B191),T(B190),"ERREUR"),IF(ISNUMBER(B190),_xlfn.NUMBERVALUE(B190),IF(ISTEXT(B190),VALUE(B190),"ERREUR")))</f>
        <v/>
      </c>
      <c r="L190" s="38" t="str">
        <f>IF(COUNTIF($R$4:$R$6,C190)&gt;0,C190,IF(ISBLANK(C190),IF(ISBLANK(D190),T(C190),"ERREUR"),"ERREUR"))</f>
        <v/>
      </c>
      <c r="M190" s="49" t="str">
        <f>IF(ISBLANK(D190),IF(ISBLANK(D191),T(D190),"ERREUR"),IF(COUNTIF($T$4:$T$240,SUBSTITUTE(SUBSTITUTE(SUBSTITUTE(SUBSTITUTE(SUBSTITUTE(SUBSTITUTE(UPPER(D190),"Å","A"),"É","E"),"È","E"),"Ê","E"),"Î","I"),"Ï","I"))&gt;0,D190,IF(ISBLANK(D190),T(D190),"ERREUR")))</f>
        <v/>
      </c>
      <c r="N190" s="38" t="str">
        <f>IF(COUNTIF($V$4:$V$6,E190)&gt;0,E190,IF(ISBLANK(E190),IF(ISBLANK(E191),T(E190),"ERREUR"),"ERREUR"))</f>
        <v/>
      </c>
      <c r="O190" s="38" t="str">
        <f>IF(COUNTIF($W$4:$W$5,F190)&gt;0,F190,IF(ISBLANK(F190),IF(ISBLANK(F191),T(F190),"ERREUR"),"ERREUR"))</f>
        <v/>
      </c>
      <c r="P190" s="38" t="str">
        <f>IF(COUNTIF($X$4:$X$8,G190)&gt;0,G190,IF(ISBLANK(G190),IF(ISBLANK(G191),T(G190),"ERREUR"),"ERREUR"))</f>
        <v/>
      </c>
      <c r="Q190" s="38" t="str">
        <f>IF(ISNUMBER(H190),IF(INT(H190)=H190,H190,"ERREUR"),IF(ISBLANK(H190),IF(ISBLANK(H191),T(H190),"ERREUR"),"ERREUR"))</f>
        <v/>
      </c>
      <c r="R190" s="38"/>
      <c r="S190" s="1" t="s">
        <v>421</v>
      </c>
      <c r="T190" s="39" t="s">
        <v>422</v>
      </c>
      <c r="U190" s="38" t="str">
        <f>SUBSTITUTE(SUBSTITUTE(SUBSTITUTE(SUBSTITUTE(SUBSTITUTE(SUBSTITUTE(SUBSTITUTE(SUBSTITUTE(UPPER(S190),"Å","A"),"É","E"),"È","E"),"Ê","E"),"Ë","E"),"Î","I"),"Ï","I"),"Ô","O")</f>
        <v>SAINT-MARIN</v>
      </c>
      <c r="V190" s="38"/>
      <c r="W190" s="38"/>
      <c r="X190" s="53"/>
      <c r="Y190" s="42"/>
      <c r="Z190" s="42"/>
      <c r="AA190" s="42"/>
    </row>
    <row r="191" ht="13.75" customHeight="1">
      <c r="A191" s="14" t="s">
        <v>140</v>
      </c>
      <c r="B191" s="50"/>
      <c r="C191" s="43"/>
      <c r="D191" s="43"/>
      <c r="E191" s="44"/>
      <c r="F191" s="44"/>
      <c r="G191" s="44"/>
      <c r="H191" s="45"/>
      <c r="I191" s="54"/>
      <c r="J191" s="47" t="str">
        <f>IF(OR(K191="ERREUR",L191="ERREUR",M191="ERREUR",N191="ERREUR",O191="ERREUR",P191="ERREUR",Q191="ERREUR"),"ERREUR",IF(AND(K191="",L191="",M191="",N191="",O191="",P191="",Q191=""),"ligne vide",IF(OR(K191="",L191="",M191="",N191="",O191="",P191="",Q191=""),"ligne incomplète","Valide")))</f>
        <v xml:space="preserve">ligne vide</v>
      </c>
      <c r="K191" s="48" t="str">
        <f>IF(ISBLANK(B191),IF(ISBLANK(B192),T(B191),"ERREUR"),IF(ISNUMBER(B191),_xlfn.NUMBERVALUE(B191),IF(ISTEXT(B191),VALUE(B191),"ERREUR")))</f>
        <v/>
      </c>
      <c r="L191" s="38" t="str">
        <f>IF(COUNTIF($R$4:$R$6,C191)&gt;0,C191,IF(ISBLANK(C191),IF(ISBLANK(D191),T(C191),"ERREUR"),"ERREUR"))</f>
        <v/>
      </c>
      <c r="M191" s="49" t="str">
        <f>IF(ISBLANK(D191),IF(ISBLANK(D192),T(D191),"ERREUR"),IF(COUNTIF($T$4:$T$240,SUBSTITUTE(SUBSTITUTE(SUBSTITUTE(SUBSTITUTE(SUBSTITUTE(SUBSTITUTE(UPPER(D191),"Å","A"),"É","E"),"È","E"),"Ê","E"),"Î","I"),"Ï","I"))&gt;0,D191,IF(ISBLANK(D191),T(D191),"ERREUR")))</f>
        <v/>
      </c>
      <c r="N191" s="38" t="str">
        <f>IF(COUNTIF($V$4:$V$6,E191)&gt;0,E191,IF(ISBLANK(E191),IF(ISBLANK(E192),T(E191),"ERREUR"),"ERREUR"))</f>
        <v/>
      </c>
      <c r="O191" s="38" t="str">
        <f>IF(COUNTIF($W$4:$W$5,F191)&gt;0,F191,IF(ISBLANK(F191),IF(ISBLANK(F192),T(F191),"ERREUR"),"ERREUR"))</f>
        <v/>
      </c>
      <c r="P191" s="38" t="str">
        <f>IF(COUNTIF($X$4:$X$8,G191)&gt;0,G191,IF(ISBLANK(G191),IF(ISBLANK(G192),T(G191),"ERREUR"),"ERREUR"))</f>
        <v/>
      </c>
      <c r="Q191" s="38" t="str">
        <f>IF(ISNUMBER(H191),IF(INT(H191)=H191,H191,"ERREUR"),IF(ISBLANK(H191),IF(ISBLANK(H192),T(H191),"ERREUR"),"ERREUR"))</f>
        <v/>
      </c>
      <c r="R191" s="38"/>
      <c r="S191" s="1" t="s">
        <v>423</v>
      </c>
      <c r="T191" s="39" t="s">
        <v>424</v>
      </c>
      <c r="U191" s="38" t="str">
        <f>SUBSTITUTE(SUBSTITUTE(SUBSTITUTE(SUBSTITUTE(SUBSTITUTE(SUBSTITUTE(SUBSTITUTE(SUBSTITUTE(UPPER(S191),"Å","A"),"É","E"),"È","E"),"Ê","E"),"Ë","E"),"Î","I"),"Ï","I"),"Ô","O")</f>
        <v xml:space="preserve">SAINT-MARTIN (PARTIE NEERLANDAISE)</v>
      </c>
      <c r="V191" s="38"/>
      <c r="W191" s="38"/>
      <c r="X191" s="53"/>
      <c r="Y191" s="42"/>
      <c r="Z191" s="42"/>
      <c r="AA191" s="42"/>
    </row>
    <row r="192" ht="13.75" customHeight="1">
      <c r="A192" s="14" t="s">
        <v>140</v>
      </c>
      <c r="B192" s="50"/>
      <c r="C192" s="43"/>
      <c r="D192" s="43"/>
      <c r="E192" s="44"/>
      <c r="F192" s="44"/>
      <c r="G192" s="44"/>
      <c r="H192" s="45"/>
      <c r="I192" s="54"/>
      <c r="J192" s="47" t="str">
        <f>IF(OR(K192="ERREUR",L192="ERREUR",M192="ERREUR",N192="ERREUR",O192="ERREUR",P192="ERREUR",Q192="ERREUR"),"ERREUR",IF(AND(K192="",L192="",M192="",N192="",O192="",P192="",Q192=""),"ligne vide",IF(OR(K192="",L192="",M192="",N192="",O192="",P192="",Q192=""),"ligne incomplète","Valide")))</f>
        <v xml:space="preserve">ligne vide</v>
      </c>
      <c r="K192" s="48" t="str">
        <f>IF(ISBLANK(B192),IF(ISBLANK(B193),T(B192),"ERREUR"),IF(ISNUMBER(B192),_xlfn.NUMBERVALUE(B192),IF(ISTEXT(B192),VALUE(B192),"ERREUR")))</f>
        <v/>
      </c>
      <c r="L192" s="38" t="str">
        <f>IF(COUNTIF($R$4:$R$6,C192)&gt;0,C192,IF(ISBLANK(C192),IF(ISBLANK(D192),T(C192),"ERREUR"),"ERREUR"))</f>
        <v/>
      </c>
      <c r="M192" s="49" t="str">
        <f>IF(ISBLANK(D192),IF(ISBLANK(D193),T(D192),"ERREUR"),IF(COUNTIF($T$4:$T$240,SUBSTITUTE(SUBSTITUTE(SUBSTITUTE(SUBSTITUTE(SUBSTITUTE(SUBSTITUTE(UPPER(D192),"Å","A"),"É","E"),"È","E"),"Ê","E"),"Î","I"),"Ï","I"))&gt;0,D192,IF(ISBLANK(D192),T(D192),"ERREUR")))</f>
        <v/>
      </c>
      <c r="N192" s="38" t="str">
        <f>IF(COUNTIF($V$4:$V$6,E192)&gt;0,E192,IF(ISBLANK(E192),IF(ISBLANK(E193),T(E192),"ERREUR"),"ERREUR"))</f>
        <v/>
      </c>
      <c r="O192" s="38" t="str">
        <f>IF(COUNTIF($W$4:$W$5,F192)&gt;0,F192,IF(ISBLANK(F192),IF(ISBLANK(F193),T(F192),"ERREUR"),"ERREUR"))</f>
        <v/>
      </c>
      <c r="P192" s="38" t="str">
        <f>IF(COUNTIF($X$4:$X$8,G192)&gt;0,G192,IF(ISBLANK(G192),IF(ISBLANK(G193),T(G192),"ERREUR"),"ERREUR"))</f>
        <v/>
      </c>
      <c r="Q192" s="38" t="str">
        <f>IF(ISNUMBER(H192),IF(INT(H192)=H192,H192,"ERREUR"),IF(ISBLANK(H192),IF(ISBLANK(H193),T(H192),"ERREUR"),"ERREUR"))</f>
        <v/>
      </c>
      <c r="R192" s="38"/>
      <c r="S192" s="1" t="s">
        <v>425</v>
      </c>
      <c r="T192" s="39" t="s">
        <v>426</v>
      </c>
      <c r="U192" s="38" t="str">
        <f>SUBSTITUTE(SUBSTITUTE(SUBSTITUTE(SUBSTITUTE(SUBSTITUTE(SUBSTITUTE(SUBSTITUTE(SUBSTITUTE(UPPER(S192),"Å","A"),"É","E"),"È","E"),"Ê","E"),"Ë","E"),"Î","I"),"Ï","I"),"Ô","O")</f>
        <v xml:space="preserve">SAINT-SIEGE (ETAT DE LA CITE DU VATICAN)</v>
      </c>
      <c r="V192" s="38"/>
      <c r="W192" s="38"/>
      <c r="X192" s="53"/>
      <c r="Y192" s="42"/>
      <c r="Z192" s="42"/>
      <c r="AA192" s="42"/>
    </row>
    <row r="193" ht="13.75" customHeight="1">
      <c r="A193" s="14" t="s">
        <v>140</v>
      </c>
      <c r="B193" s="50"/>
      <c r="C193" s="43"/>
      <c r="D193" s="43"/>
      <c r="E193" s="44"/>
      <c r="F193" s="44"/>
      <c r="G193" s="44"/>
      <c r="H193" s="45"/>
      <c r="I193" s="54"/>
      <c r="J193" s="47" t="str">
        <f>IF(OR(K193="ERREUR",L193="ERREUR",M193="ERREUR",N193="ERREUR",O193="ERREUR",P193="ERREUR",Q193="ERREUR"),"ERREUR",IF(AND(K193="",L193="",M193="",N193="",O193="",P193="",Q193=""),"ligne vide",IF(OR(K193="",L193="",M193="",N193="",O193="",P193="",Q193=""),"ligne incomplète","Valide")))</f>
        <v xml:space="preserve">ligne vide</v>
      </c>
      <c r="K193" s="48" t="str">
        <f>IF(ISBLANK(B193),IF(ISBLANK(B194),T(B193),"ERREUR"),IF(ISNUMBER(B193),_xlfn.NUMBERVALUE(B193),IF(ISTEXT(B193),VALUE(B193),"ERREUR")))</f>
        <v/>
      </c>
      <c r="L193" s="38" t="str">
        <f>IF(COUNTIF($R$4:$R$6,C193)&gt;0,C193,IF(ISBLANK(C193),IF(ISBLANK(D193),T(C193),"ERREUR"),"ERREUR"))</f>
        <v/>
      </c>
      <c r="M193" s="49" t="str">
        <f>IF(ISBLANK(D193),IF(ISBLANK(D194),T(D193),"ERREUR"),IF(COUNTIF($T$4:$T$240,SUBSTITUTE(SUBSTITUTE(SUBSTITUTE(SUBSTITUTE(SUBSTITUTE(SUBSTITUTE(UPPER(D193),"Å","A"),"É","E"),"È","E"),"Ê","E"),"Î","I"),"Ï","I"))&gt;0,D193,IF(ISBLANK(D193),T(D193),"ERREUR")))</f>
        <v/>
      </c>
      <c r="N193" s="38" t="str">
        <f>IF(COUNTIF($V$4:$V$6,E193)&gt;0,E193,IF(ISBLANK(E193),IF(ISBLANK(E194),T(E193),"ERREUR"),"ERREUR"))</f>
        <v/>
      </c>
      <c r="O193" s="38" t="str">
        <f>IF(COUNTIF($W$4:$W$5,F193)&gt;0,F193,IF(ISBLANK(F193),IF(ISBLANK(F194),T(F193),"ERREUR"),"ERREUR"))</f>
        <v/>
      </c>
      <c r="P193" s="38" t="str">
        <f>IF(COUNTIF($X$4:$X$8,G193)&gt;0,G193,IF(ISBLANK(G193),IF(ISBLANK(G194),T(G193),"ERREUR"),"ERREUR"))</f>
        <v/>
      </c>
      <c r="Q193" s="38" t="str">
        <f>IF(ISNUMBER(H193),IF(INT(H193)=H193,H193,"ERREUR"),IF(ISBLANK(H193),IF(ISBLANK(H194),T(H193),"ERREUR"),"ERREUR"))</f>
        <v/>
      </c>
      <c r="R193" s="38"/>
      <c r="S193" s="1" t="s">
        <v>427</v>
      </c>
      <c r="T193" s="39" t="s">
        <v>428</v>
      </c>
      <c r="U193" s="38" t="str">
        <f>SUBSTITUTE(SUBSTITUTE(SUBSTITUTE(SUBSTITUTE(SUBSTITUTE(SUBSTITUTE(SUBSTITUTE(SUBSTITUTE(UPPER(S193),"Å","A"),"É","E"),"È","E"),"Ê","E"),"Ë","E"),"Î","I"),"Ï","I"),"Ô","O")</f>
        <v>SAINT-VINCENT-ET-LES-GRENADINES</v>
      </c>
      <c r="V193" s="38"/>
      <c r="W193" s="38"/>
      <c r="X193" s="53"/>
      <c r="Y193" s="42"/>
      <c r="Z193" s="42"/>
      <c r="AA193" s="42"/>
    </row>
    <row r="194" ht="13.75" customHeight="1">
      <c r="A194" s="14" t="s">
        <v>140</v>
      </c>
      <c r="B194" s="50"/>
      <c r="C194" s="43"/>
      <c r="D194" s="43"/>
      <c r="E194" s="44"/>
      <c r="F194" s="44"/>
      <c r="G194" s="44"/>
      <c r="H194" s="45"/>
      <c r="I194" s="54"/>
      <c r="J194" s="47" t="str">
        <f>IF(OR(K194="ERREUR",L194="ERREUR",M194="ERREUR",N194="ERREUR",O194="ERREUR",P194="ERREUR",Q194="ERREUR"),"ERREUR",IF(AND(K194="",L194="",M194="",N194="",O194="",P194="",Q194=""),"ligne vide",IF(OR(K194="",L194="",M194="",N194="",O194="",P194="",Q194=""),"ligne incomplète","Valide")))</f>
        <v xml:space="preserve">ligne vide</v>
      </c>
      <c r="K194" s="48" t="str">
        <f>IF(ISBLANK(B194),IF(ISBLANK(B195),T(B194),"ERREUR"),IF(ISNUMBER(B194),_xlfn.NUMBERVALUE(B194),IF(ISTEXT(B194),VALUE(B194),"ERREUR")))</f>
        <v/>
      </c>
      <c r="L194" s="38" t="str">
        <f>IF(COUNTIF($R$4:$R$6,C194)&gt;0,C194,IF(ISBLANK(C194),IF(ISBLANK(D194),T(C194),"ERREUR"),"ERREUR"))</f>
        <v/>
      </c>
      <c r="M194" s="49" t="str">
        <f>IF(ISBLANK(D194),IF(ISBLANK(D195),T(D194),"ERREUR"),IF(COUNTIF($T$4:$T$240,SUBSTITUTE(SUBSTITUTE(SUBSTITUTE(SUBSTITUTE(SUBSTITUTE(SUBSTITUTE(UPPER(D194),"Å","A"),"É","E"),"È","E"),"Ê","E"),"Î","I"),"Ï","I"))&gt;0,D194,IF(ISBLANK(D194),T(D194),"ERREUR")))</f>
        <v/>
      </c>
      <c r="N194" s="38" t="str">
        <f>IF(COUNTIF($V$4:$V$6,E194)&gt;0,E194,IF(ISBLANK(E194),IF(ISBLANK(E195),T(E194),"ERREUR"),"ERREUR"))</f>
        <v/>
      </c>
      <c r="O194" s="38" t="str">
        <f>IF(COUNTIF($W$4:$W$5,F194)&gt;0,F194,IF(ISBLANK(F194),IF(ISBLANK(F195),T(F194),"ERREUR"),"ERREUR"))</f>
        <v/>
      </c>
      <c r="P194" s="38" t="str">
        <f>IF(COUNTIF($X$4:$X$8,G194)&gt;0,G194,IF(ISBLANK(G194),IF(ISBLANK(G195),T(G194),"ERREUR"),"ERREUR"))</f>
        <v/>
      </c>
      <c r="Q194" s="38" t="str">
        <f>IF(ISNUMBER(H194),IF(INT(H194)=H194,H194,"ERREUR"),IF(ISBLANK(H194),IF(ISBLANK(H195),T(H194),"ERREUR"),"ERREUR"))</f>
        <v/>
      </c>
      <c r="R194" s="38"/>
      <c r="S194" s="1" t="s">
        <v>429</v>
      </c>
      <c r="T194" s="39" t="s">
        <v>430</v>
      </c>
      <c r="U194" s="38" t="str">
        <f>SUBSTITUTE(SUBSTITUTE(SUBSTITUTE(SUBSTITUTE(SUBSTITUTE(SUBSTITUTE(SUBSTITUTE(SUBSTITUTE(UPPER(S194),"Å","A"),"É","E"),"È","E"),"Ê","E"),"Ë","E"),"Î","I"),"Ï","I"),"Ô","O")</f>
        <v xml:space="preserve">SAINTE-HELENE, ASCENSION ET TRISTAN DA CUNHA</v>
      </c>
      <c r="V194" s="38"/>
      <c r="W194" s="38"/>
      <c r="X194" s="53"/>
      <c r="Y194" s="42"/>
      <c r="Z194" s="42"/>
      <c r="AA194" s="42"/>
    </row>
    <row r="195" ht="13.75" customHeight="1">
      <c r="A195" s="14" t="s">
        <v>140</v>
      </c>
      <c r="B195" s="50"/>
      <c r="C195" s="43"/>
      <c r="D195" s="43"/>
      <c r="E195" s="44"/>
      <c r="F195" s="44"/>
      <c r="G195" s="44"/>
      <c r="H195" s="45"/>
      <c r="I195" s="54"/>
      <c r="J195" s="47" t="str">
        <f>IF(OR(K195="ERREUR",L195="ERREUR",M195="ERREUR",N195="ERREUR",O195="ERREUR",P195="ERREUR",Q195="ERREUR"),"ERREUR",IF(AND(K195="",L195="",M195="",N195="",O195="",P195="",Q195=""),"ligne vide",IF(OR(K195="",L195="",M195="",N195="",O195="",P195="",Q195=""),"ligne incomplète","Valide")))</f>
        <v xml:space="preserve">ligne vide</v>
      </c>
      <c r="K195" s="48" t="str">
        <f>IF(ISBLANK(B195),IF(ISBLANK(B196),T(B195),"ERREUR"),IF(ISNUMBER(B195),_xlfn.NUMBERVALUE(B195),IF(ISTEXT(B195),VALUE(B195),"ERREUR")))</f>
        <v/>
      </c>
      <c r="L195" s="38" t="str">
        <f>IF(COUNTIF($R$4:$R$6,C195)&gt;0,C195,IF(ISBLANK(C195),IF(ISBLANK(D195),T(C195),"ERREUR"),"ERREUR"))</f>
        <v/>
      </c>
      <c r="M195" s="49" t="str">
        <f>IF(ISBLANK(D195),IF(ISBLANK(D196),T(D195),"ERREUR"),IF(COUNTIF($T$4:$T$240,SUBSTITUTE(SUBSTITUTE(SUBSTITUTE(SUBSTITUTE(SUBSTITUTE(SUBSTITUTE(UPPER(D195),"Å","A"),"É","E"),"È","E"),"Ê","E"),"Î","I"),"Ï","I"))&gt;0,D195,IF(ISBLANK(D195),T(D195),"ERREUR")))</f>
        <v/>
      </c>
      <c r="N195" s="38" t="str">
        <f>IF(COUNTIF($V$4:$V$6,E195)&gt;0,E195,IF(ISBLANK(E195),IF(ISBLANK(E196),T(E195),"ERREUR"),"ERREUR"))</f>
        <v/>
      </c>
      <c r="O195" s="38" t="str">
        <f>IF(COUNTIF($W$4:$W$5,F195)&gt;0,F195,IF(ISBLANK(F195),IF(ISBLANK(F196),T(F195),"ERREUR"),"ERREUR"))</f>
        <v/>
      </c>
      <c r="P195" s="38" t="str">
        <f>IF(COUNTIF($X$4:$X$8,G195)&gt;0,G195,IF(ISBLANK(G195),IF(ISBLANK(G196),T(G195),"ERREUR"),"ERREUR"))</f>
        <v/>
      </c>
      <c r="Q195" s="38" t="str">
        <f>IF(ISNUMBER(H195),IF(INT(H195)=H195,H195,"ERREUR"),IF(ISBLANK(H195),IF(ISBLANK(H196),T(H195),"ERREUR"),"ERREUR"))</f>
        <v/>
      </c>
      <c r="R195" s="38"/>
      <c r="S195" s="1" t="s">
        <v>431</v>
      </c>
      <c r="T195" s="39" t="s">
        <v>432</v>
      </c>
      <c r="U195" s="38" t="str">
        <f>SUBSTITUTE(SUBSTITUTE(SUBSTITUTE(SUBSTITUTE(SUBSTITUTE(SUBSTITUTE(SUBSTITUTE(SUBSTITUTE(UPPER(S195),"Å","A"),"É","E"),"È","E"),"Ê","E"),"Ë","E"),"Î","I"),"Ï","I"),"Ô","O")</f>
        <v>SAINTE-LUCIE</v>
      </c>
      <c r="V195" s="38"/>
      <c r="W195" s="38"/>
      <c r="X195" s="53"/>
      <c r="Y195" s="42"/>
      <c r="Z195" s="42"/>
      <c r="AA195" s="42"/>
    </row>
    <row r="196" ht="13.75" customHeight="1">
      <c r="A196" s="14" t="s">
        <v>140</v>
      </c>
      <c r="B196" s="50"/>
      <c r="C196" s="43"/>
      <c r="D196" s="43"/>
      <c r="E196" s="44"/>
      <c r="F196" s="44"/>
      <c r="G196" s="44"/>
      <c r="H196" s="45"/>
      <c r="I196" s="54"/>
      <c r="J196" s="47" t="str">
        <f>IF(OR(K196="ERREUR",L196="ERREUR",M196="ERREUR",N196="ERREUR",O196="ERREUR",P196="ERREUR",Q196="ERREUR"),"ERREUR",IF(AND(K196="",L196="",M196="",N196="",O196="",P196="",Q196=""),"ligne vide",IF(OR(K196="",L196="",M196="",N196="",O196="",P196="",Q196=""),"ligne incomplète","Valide")))</f>
        <v xml:space="preserve">ligne vide</v>
      </c>
      <c r="K196" s="48" t="str">
        <f>IF(ISBLANK(B196),IF(ISBLANK(B197),T(B196),"ERREUR"),IF(ISNUMBER(B196),_xlfn.NUMBERVALUE(B196),IF(ISTEXT(B196),VALUE(B196),"ERREUR")))</f>
        <v/>
      </c>
      <c r="L196" s="38" t="str">
        <f>IF(COUNTIF($R$4:$R$6,C196)&gt;0,C196,IF(ISBLANK(C196),IF(ISBLANK(D196),T(C196),"ERREUR"),"ERREUR"))</f>
        <v/>
      </c>
      <c r="M196" s="49" t="str">
        <f>IF(ISBLANK(D196),IF(ISBLANK(D197),T(D196),"ERREUR"),IF(COUNTIF($T$4:$T$240,SUBSTITUTE(SUBSTITUTE(SUBSTITUTE(SUBSTITUTE(SUBSTITUTE(SUBSTITUTE(UPPER(D196),"Å","A"),"É","E"),"È","E"),"Ê","E"),"Î","I"),"Ï","I"))&gt;0,D196,IF(ISBLANK(D196),T(D196),"ERREUR")))</f>
        <v/>
      </c>
      <c r="N196" s="38" t="str">
        <f>IF(COUNTIF($V$4:$V$6,E196)&gt;0,E196,IF(ISBLANK(E196),IF(ISBLANK(E197),T(E196),"ERREUR"),"ERREUR"))</f>
        <v/>
      </c>
      <c r="O196" s="38" t="str">
        <f>IF(COUNTIF($W$4:$W$5,F196)&gt;0,F196,IF(ISBLANK(F196),IF(ISBLANK(F197),T(F196),"ERREUR"),"ERREUR"))</f>
        <v/>
      </c>
      <c r="P196" s="38" t="str">
        <f>IF(COUNTIF($X$4:$X$8,G196)&gt;0,G196,IF(ISBLANK(G196),IF(ISBLANK(G197),T(G196),"ERREUR"),"ERREUR"))</f>
        <v/>
      </c>
      <c r="Q196" s="38" t="str">
        <f>IF(ISNUMBER(H196),IF(INT(H196)=H196,H196,"ERREUR"),IF(ISBLANK(H196),IF(ISBLANK(H197),T(H196),"ERREUR"),"ERREUR"))</f>
        <v/>
      </c>
      <c r="R196" s="38"/>
      <c r="S196" s="1" t="s">
        <v>433</v>
      </c>
      <c r="T196" s="39" t="s">
        <v>434</v>
      </c>
      <c r="U196" s="38" t="str">
        <f>SUBSTITUTE(SUBSTITUTE(SUBSTITUTE(SUBSTITUTE(SUBSTITUTE(SUBSTITUTE(SUBSTITUTE(SUBSTITUTE(UPPER(S196),"Å","A"),"É","E"),"È","E"),"Ê","E"),"Ë","E"),"Î","I"),"Ï","I"),"Ô","O")</f>
        <v xml:space="preserve">SALOMON, ILES</v>
      </c>
      <c r="V196" s="38"/>
      <c r="W196" s="38"/>
      <c r="X196" s="53"/>
      <c r="Y196" s="42"/>
      <c r="Z196" s="42"/>
      <c r="AA196" s="42"/>
    </row>
    <row r="197" ht="13.75" customHeight="1">
      <c r="A197" s="14" t="s">
        <v>140</v>
      </c>
      <c r="B197" s="50"/>
      <c r="C197" s="43"/>
      <c r="D197" s="43"/>
      <c r="E197" s="44"/>
      <c r="F197" s="44"/>
      <c r="G197" s="44"/>
      <c r="H197" s="45"/>
      <c r="I197" s="54"/>
      <c r="J197" s="47" t="str">
        <f>IF(OR(K197="ERREUR",L197="ERREUR",M197="ERREUR",N197="ERREUR",O197="ERREUR",P197="ERREUR",Q197="ERREUR"),"ERREUR",IF(AND(K197="",L197="",M197="",N197="",O197="",P197="",Q197=""),"ligne vide",IF(OR(K197="",L197="",M197="",N197="",O197="",P197="",Q197=""),"ligne incomplète","Valide")))</f>
        <v xml:space="preserve">ligne vide</v>
      </c>
      <c r="K197" s="48" t="str">
        <f>IF(ISBLANK(B197),IF(ISBLANK(B198),T(B197),"ERREUR"),IF(ISNUMBER(B197),_xlfn.NUMBERVALUE(B197),IF(ISTEXT(B197),VALUE(B197),"ERREUR")))</f>
        <v/>
      </c>
      <c r="L197" s="38" t="str">
        <f>IF(COUNTIF($R$4:$R$6,C197)&gt;0,C197,IF(ISBLANK(C197),IF(ISBLANK(D197),T(C197),"ERREUR"),"ERREUR"))</f>
        <v/>
      </c>
      <c r="M197" s="49" t="str">
        <f>IF(ISBLANK(D197),IF(ISBLANK(D198),T(D197),"ERREUR"),IF(COUNTIF($T$4:$T$240,SUBSTITUTE(SUBSTITUTE(SUBSTITUTE(SUBSTITUTE(SUBSTITUTE(SUBSTITUTE(UPPER(D197),"Å","A"),"É","E"),"È","E"),"Ê","E"),"Î","I"),"Ï","I"))&gt;0,D197,IF(ISBLANK(D197),T(D197),"ERREUR")))</f>
        <v/>
      </c>
      <c r="N197" s="38" t="str">
        <f>IF(COUNTIF($V$4:$V$6,E197)&gt;0,E197,IF(ISBLANK(E197),IF(ISBLANK(E198),T(E197),"ERREUR"),"ERREUR"))</f>
        <v/>
      </c>
      <c r="O197" s="38" t="str">
        <f>IF(COUNTIF($W$4:$W$5,F197)&gt;0,F197,IF(ISBLANK(F197),IF(ISBLANK(F198),T(F197),"ERREUR"),"ERREUR"))</f>
        <v/>
      </c>
      <c r="P197" s="38" t="str">
        <f>IF(COUNTIF($X$4:$X$8,G197)&gt;0,G197,IF(ISBLANK(G197),IF(ISBLANK(G198),T(G197),"ERREUR"),"ERREUR"))</f>
        <v/>
      </c>
      <c r="Q197" s="38" t="str">
        <f>IF(ISNUMBER(H197),IF(INT(H197)=H197,H197,"ERREUR"),IF(ISBLANK(H197),IF(ISBLANK(H198),T(H197),"ERREUR"),"ERREUR"))</f>
        <v/>
      </c>
      <c r="R197" s="38"/>
      <c r="S197" s="1" t="s">
        <v>435</v>
      </c>
      <c r="T197" s="39" t="s">
        <v>436</v>
      </c>
      <c r="U197" s="38" t="str">
        <f>SUBSTITUTE(SUBSTITUTE(SUBSTITUTE(SUBSTITUTE(SUBSTITUTE(SUBSTITUTE(SUBSTITUTE(SUBSTITUTE(UPPER(S197),"Å","A"),"É","E"),"È","E"),"Ê","E"),"Ë","E"),"Î","I"),"Ï","I"),"Ô","O")</f>
        <v>SALVADOR</v>
      </c>
      <c r="V197" s="38"/>
      <c r="W197" s="38"/>
      <c r="X197" s="53"/>
      <c r="Y197" s="42"/>
      <c r="Z197" s="42"/>
      <c r="AA197" s="42"/>
    </row>
    <row r="198" ht="13.75" customHeight="1">
      <c r="A198" s="14" t="s">
        <v>140</v>
      </c>
      <c r="B198" s="50"/>
      <c r="C198" s="43"/>
      <c r="D198" s="43"/>
      <c r="E198" s="44"/>
      <c r="F198" s="44"/>
      <c r="G198" s="44"/>
      <c r="H198" s="45"/>
      <c r="I198" s="54"/>
      <c r="J198" s="47" t="str">
        <f>IF(OR(K198="ERREUR",L198="ERREUR",M198="ERREUR",N198="ERREUR",O198="ERREUR",P198="ERREUR",Q198="ERREUR"),"ERREUR",IF(AND(K198="",L198="",M198="",N198="",O198="",P198="",Q198=""),"ligne vide",IF(OR(K198="",L198="",M198="",N198="",O198="",P198="",Q198=""),"ligne incomplète","Valide")))</f>
        <v xml:space="preserve">ligne vide</v>
      </c>
      <c r="K198" s="48" t="str">
        <f>IF(ISBLANK(B198),IF(ISBLANK(B199),T(B198),"ERREUR"),IF(ISNUMBER(B198),_xlfn.NUMBERVALUE(B198),IF(ISTEXT(B198),VALUE(B198),"ERREUR")))</f>
        <v/>
      </c>
      <c r="L198" s="38" t="str">
        <f>IF(COUNTIF($R$4:$R$6,C198)&gt;0,C198,IF(ISBLANK(C198),IF(ISBLANK(D198),T(C198),"ERREUR"),"ERREUR"))</f>
        <v/>
      </c>
      <c r="M198" s="49" t="str">
        <f>IF(ISBLANK(D198),IF(ISBLANK(D199),T(D198),"ERREUR"),IF(COUNTIF($T$4:$T$240,SUBSTITUTE(SUBSTITUTE(SUBSTITUTE(SUBSTITUTE(SUBSTITUTE(SUBSTITUTE(UPPER(D198),"Å","A"),"É","E"),"È","E"),"Ê","E"),"Î","I"),"Ï","I"))&gt;0,D198,IF(ISBLANK(D198),T(D198),"ERREUR")))</f>
        <v/>
      </c>
      <c r="N198" s="38" t="str">
        <f>IF(COUNTIF($V$4:$V$6,E198)&gt;0,E198,IF(ISBLANK(E198),IF(ISBLANK(E199),T(E198),"ERREUR"),"ERREUR"))</f>
        <v/>
      </c>
      <c r="O198" s="38" t="str">
        <f>IF(COUNTIF($W$4:$W$5,F198)&gt;0,F198,IF(ISBLANK(F198),IF(ISBLANK(F199),T(F198),"ERREUR"),"ERREUR"))</f>
        <v/>
      </c>
      <c r="P198" s="38" t="str">
        <f>IF(COUNTIF($X$4:$X$8,G198)&gt;0,G198,IF(ISBLANK(G198),IF(ISBLANK(G199),T(G198),"ERREUR"),"ERREUR"))</f>
        <v/>
      </c>
      <c r="Q198" s="38" t="str">
        <f>IF(ISNUMBER(H198),IF(INT(H198)=H198,H198,"ERREUR"),IF(ISBLANK(H198),IF(ISBLANK(H199),T(H198),"ERREUR"),"ERREUR"))</f>
        <v/>
      </c>
      <c r="R198" s="38"/>
      <c r="S198" s="1" t="s">
        <v>437</v>
      </c>
      <c r="T198" s="39" t="s">
        <v>438</v>
      </c>
      <c r="U198" s="38" t="str">
        <f>SUBSTITUTE(SUBSTITUTE(SUBSTITUTE(SUBSTITUTE(SUBSTITUTE(SUBSTITUTE(SUBSTITUTE(SUBSTITUTE(UPPER(S198),"Å","A"),"É","E"),"È","E"),"Ê","E"),"Ë","E"),"Î","I"),"Ï","I"),"Ô","O")</f>
        <v>SAMOA</v>
      </c>
      <c r="V198" s="38"/>
      <c r="W198" s="38"/>
      <c r="X198" s="53"/>
      <c r="Y198" s="42"/>
      <c r="Z198" s="42"/>
      <c r="AA198" s="42"/>
    </row>
    <row r="199" ht="13.75" customHeight="1">
      <c r="A199" s="14" t="s">
        <v>140</v>
      </c>
      <c r="B199" s="50"/>
      <c r="C199" s="43"/>
      <c r="D199" s="43"/>
      <c r="E199" s="44"/>
      <c r="F199" s="44"/>
      <c r="G199" s="44"/>
      <c r="H199" s="45"/>
      <c r="I199" s="54"/>
      <c r="J199" s="47" t="str">
        <f>IF(OR(K199="ERREUR",L199="ERREUR",M199="ERREUR",N199="ERREUR",O199="ERREUR",P199="ERREUR",Q199="ERREUR"),"ERREUR",IF(AND(K199="",L199="",M199="",N199="",O199="",P199="",Q199=""),"ligne vide",IF(OR(K199="",L199="",M199="",N199="",O199="",P199="",Q199=""),"ligne incomplète","Valide")))</f>
        <v xml:space="preserve">ligne vide</v>
      </c>
      <c r="K199" s="48" t="str">
        <f>IF(ISBLANK(B199),IF(ISBLANK(B200),T(B199),"ERREUR"),IF(ISNUMBER(B199),_xlfn.NUMBERVALUE(B199),IF(ISTEXT(B199),VALUE(B199),"ERREUR")))</f>
        <v/>
      </c>
      <c r="L199" s="38" t="str">
        <f>IF(COUNTIF($R$4:$R$6,C199)&gt;0,C199,IF(ISBLANK(C199),IF(ISBLANK(D199),T(C199),"ERREUR"),"ERREUR"))</f>
        <v/>
      </c>
      <c r="M199" s="49" t="str">
        <f>IF(ISBLANK(D199),IF(ISBLANK(D200),T(D199),"ERREUR"),IF(COUNTIF($T$4:$T$240,SUBSTITUTE(SUBSTITUTE(SUBSTITUTE(SUBSTITUTE(SUBSTITUTE(SUBSTITUTE(UPPER(D199),"Å","A"),"É","E"),"È","E"),"Ê","E"),"Î","I"),"Ï","I"))&gt;0,D199,IF(ISBLANK(D199),T(D199),"ERREUR")))</f>
        <v/>
      </c>
      <c r="N199" s="38" t="str">
        <f>IF(COUNTIF($V$4:$V$6,E199)&gt;0,E199,IF(ISBLANK(E199),IF(ISBLANK(E200),T(E199),"ERREUR"),"ERREUR"))</f>
        <v/>
      </c>
      <c r="O199" s="38" t="str">
        <f>IF(COUNTIF($W$4:$W$5,F199)&gt;0,F199,IF(ISBLANK(F199),IF(ISBLANK(F200),T(F199),"ERREUR"),"ERREUR"))</f>
        <v/>
      </c>
      <c r="P199" s="38" t="str">
        <f>IF(COUNTIF($X$4:$X$8,G199)&gt;0,G199,IF(ISBLANK(G199),IF(ISBLANK(G200),T(G199),"ERREUR"),"ERREUR"))</f>
        <v/>
      </c>
      <c r="Q199" s="38" t="str">
        <f>IF(ISNUMBER(H199),IF(INT(H199)=H199,H199,"ERREUR"),IF(ISBLANK(H199),IF(ISBLANK(H200),T(H199),"ERREUR"),"ERREUR"))</f>
        <v/>
      </c>
      <c r="R199" s="38"/>
      <c r="S199" s="1" t="s">
        <v>439</v>
      </c>
      <c r="T199" s="39" t="s">
        <v>440</v>
      </c>
      <c r="U199" s="38" t="str">
        <f>SUBSTITUTE(SUBSTITUTE(SUBSTITUTE(SUBSTITUTE(SUBSTITUTE(SUBSTITUTE(SUBSTITUTE(SUBSTITUTE(UPPER(S199),"Å","A"),"É","E"),"È","E"),"Ê","E"),"Ë","E"),"Î","I"),"Ï","I"),"Ô","O")</f>
        <v xml:space="preserve">SAMOA AMERICAINES</v>
      </c>
      <c r="V199" s="38"/>
      <c r="W199" s="38"/>
      <c r="X199" s="53"/>
      <c r="Y199" s="42"/>
      <c r="Z199" s="42"/>
      <c r="AA199" s="42"/>
    </row>
    <row r="200" ht="13.75" customHeight="1">
      <c r="A200" s="14" t="s">
        <v>140</v>
      </c>
      <c r="B200" s="50"/>
      <c r="C200" s="43"/>
      <c r="D200" s="43"/>
      <c r="E200" s="44"/>
      <c r="F200" s="44"/>
      <c r="G200" s="44"/>
      <c r="H200" s="45"/>
      <c r="I200" s="54"/>
      <c r="J200" s="47" t="str">
        <f>IF(OR(K200="ERREUR",L200="ERREUR",M200="ERREUR",N200="ERREUR",O200="ERREUR",P200="ERREUR",Q200="ERREUR"),"ERREUR",IF(AND(K200="",L200="",M200="",N200="",O200="",P200="",Q200=""),"ligne vide",IF(OR(K200="",L200="",M200="",N200="",O200="",P200="",Q200=""),"ligne incomplète","Valide")))</f>
        <v xml:space="preserve">ligne vide</v>
      </c>
      <c r="K200" s="48" t="str">
        <f>IF(ISBLANK(B200),IF(ISBLANK(B201),T(B200),"ERREUR"),IF(ISNUMBER(B200),_xlfn.NUMBERVALUE(B200),IF(ISTEXT(B200),VALUE(B200),"ERREUR")))</f>
        <v/>
      </c>
      <c r="L200" s="38" t="str">
        <f>IF(COUNTIF($R$4:$R$6,C200)&gt;0,C200,IF(ISBLANK(C200),IF(ISBLANK(D200),T(C200),"ERREUR"),"ERREUR"))</f>
        <v/>
      </c>
      <c r="M200" s="49" t="str">
        <f>IF(ISBLANK(D200),IF(ISBLANK(D201),T(D200),"ERREUR"),IF(COUNTIF($T$4:$T$240,SUBSTITUTE(SUBSTITUTE(SUBSTITUTE(SUBSTITUTE(SUBSTITUTE(SUBSTITUTE(UPPER(D200),"Å","A"),"É","E"),"È","E"),"Ê","E"),"Î","I"),"Ï","I"))&gt;0,D200,IF(ISBLANK(D200),T(D200),"ERREUR")))</f>
        <v/>
      </c>
      <c r="N200" s="38" t="str">
        <f>IF(COUNTIF($V$4:$V$6,E200)&gt;0,E200,IF(ISBLANK(E200),IF(ISBLANK(E201),T(E200),"ERREUR"),"ERREUR"))</f>
        <v/>
      </c>
      <c r="O200" s="38" t="str">
        <f>IF(COUNTIF($W$4:$W$5,F200)&gt;0,F200,IF(ISBLANK(F200),IF(ISBLANK(F201),T(F200),"ERREUR"),"ERREUR"))</f>
        <v/>
      </c>
      <c r="P200" s="38" t="str">
        <f>IF(COUNTIF($X$4:$X$8,G200)&gt;0,G200,IF(ISBLANK(G200),IF(ISBLANK(G201),T(G200),"ERREUR"),"ERREUR"))</f>
        <v/>
      </c>
      <c r="Q200" s="38" t="str">
        <f>IF(ISNUMBER(H200),IF(INT(H200)=H200,H200,"ERREUR"),IF(ISBLANK(H200),IF(ISBLANK(H201),T(H200),"ERREUR"),"ERREUR"))</f>
        <v/>
      </c>
      <c r="R200" s="38"/>
      <c r="S200" s="1" t="s">
        <v>441</v>
      </c>
      <c r="T200" s="39" t="s">
        <v>442</v>
      </c>
      <c r="U200" s="38" t="str">
        <f>SUBSTITUTE(SUBSTITUTE(SUBSTITUTE(SUBSTITUTE(SUBSTITUTE(SUBSTITUTE(SUBSTITUTE(SUBSTITUTE(UPPER(S200),"Å","A"),"É","E"),"È","E"),"Ê","E"),"Ë","E"),"Î","I"),"Ï","I"),"Ô","O")</f>
        <v xml:space="preserve">SAO TOME-ET-PRINCIPE</v>
      </c>
      <c r="V200" s="38"/>
      <c r="W200" s="38"/>
      <c r="X200" s="53"/>
      <c r="Y200" s="42"/>
      <c r="Z200" s="42"/>
      <c r="AA200" s="42"/>
    </row>
    <row r="201" ht="13.75" customHeight="1">
      <c r="A201" s="14" t="s">
        <v>140</v>
      </c>
      <c r="B201" s="50"/>
      <c r="C201" s="43"/>
      <c r="D201" s="43"/>
      <c r="E201" s="44"/>
      <c r="F201" s="44"/>
      <c r="G201" s="44"/>
      <c r="H201" s="45"/>
      <c r="I201" s="54"/>
      <c r="J201" s="47" t="str">
        <f>IF(OR(K201="ERREUR",L201="ERREUR",M201="ERREUR",N201="ERREUR",O201="ERREUR",P201="ERREUR",Q201="ERREUR"),"ERREUR",IF(AND(K201="",L201="",M201="",N201="",O201="",P201="",Q201=""),"ligne vide",IF(OR(K201="",L201="",M201="",N201="",O201="",P201="",Q201=""),"ligne incomplète","Valide")))</f>
        <v xml:space="preserve">ligne vide</v>
      </c>
      <c r="K201" s="48" t="str">
        <f>IF(ISBLANK(B201),IF(ISBLANK(B202),T(B201),"ERREUR"),IF(ISNUMBER(B201),_xlfn.NUMBERVALUE(B201),IF(ISTEXT(B201),VALUE(B201),"ERREUR")))</f>
        <v/>
      </c>
      <c r="L201" s="38" t="str">
        <f>IF(COUNTIF($R$4:$R$6,C201)&gt;0,C201,IF(ISBLANK(C201),IF(ISBLANK(D201),T(C201),"ERREUR"),"ERREUR"))</f>
        <v/>
      </c>
      <c r="M201" s="49" t="str">
        <f>IF(ISBLANK(D201),IF(ISBLANK(D202),T(D201),"ERREUR"),IF(COUNTIF($T$4:$T$240,SUBSTITUTE(SUBSTITUTE(SUBSTITUTE(SUBSTITUTE(SUBSTITUTE(SUBSTITUTE(UPPER(D201),"Å","A"),"É","E"),"È","E"),"Ê","E"),"Î","I"),"Ï","I"))&gt;0,D201,IF(ISBLANK(D201),T(D201),"ERREUR")))</f>
        <v/>
      </c>
      <c r="N201" s="38" t="str">
        <f>IF(COUNTIF($V$4:$V$6,E201)&gt;0,E201,IF(ISBLANK(E201),IF(ISBLANK(E202),T(E201),"ERREUR"),"ERREUR"))</f>
        <v/>
      </c>
      <c r="O201" s="38" t="str">
        <f>IF(COUNTIF($W$4:$W$5,F201)&gt;0,F201,IF(ISBLANK(F201),IF(ISBLANK(F202),T(F201),"ERREUR"),"ERREUR"))</f>
        <v/>
      </c>
      <c r="P201" s="38" t="str">
        <f>IF(COUNTIF($X$4:$X$8,G201)&gt;0,G201,IF(ISBLANK(G201),IF(ISBLANK(G202),T(G201),"ERREUR"),"ERREUR"))</f>
        <v/>
      </c>
      <c r="Q201" s="38" t="str">
        <f>IF(ISNUMBER(H201),IF(INT(H201)=H201,H201,"ERREUR"),IF(ISBLANK(H201),IF(ISBLANK(H202),T(H201),"ERREUR"),"ERREUR"))</f>
        <v/>
      </c>
      <c r="R201" s="38"/>
      <c r="S201" s="1" t="s">
        <v>443</v>
      </c>
      <c r="T201" s="39" t="s">
        <v>444</v>
      </c>
      <c r="U201" s="38" t="str">
        <f>SUBSTITUTE(SUBSTITUTE(SUBSTITUTE(SUBSTITUTE(SUBSTITUTE(SUBSTITUTE(SUBSTITUTE(SUBSTITUTE(UPPER(S201),"Å","A"),"É","E"),"È","E"),"Ê","E"),"Ë","E"),"Î","I"),"Ï","I"),"Ô","O")</f>
        <v>SENEGAL</v>
      </c>
      <c r="V201" s="38"/>
      <c r="W201" s="38"/>
      <c r="X201" s="53"/>
      <c r="Y201" s="42"/>
      <c r="Z201" s="42"/>
      <c r="AA201" s="42"/>
    </row>
    <row r="202" ht="13.75" customHeight="1">
      <c r="A202" s="14" t="s">
        <v>140</v>
      </c>
      <c r="B202" s="50"/>
      <c r="C202" s="43"/>
      <c r="D202" s="43"/>
      <c r="E202" s="44"/>
      <c r="F202" s="44"/>
      <c r="G202" s="44"/>
      <c r="H202" s="45"/>
      <c r="I202" s="54"/>
      <c r="J202" s="47" t="str">
        <f>IF(OR(K202="ERREUR",L202="ERREUR",M202="ERREUR",N202="ERREUR",O202="ERREUR",P202="ERREUR",Q202="ERREUR"),"ERREUR",IF(AND(K202="",L202="",M202="",N202="",O202="",P202="",Q202=""),"ligne vide",IF(OR(K202="",L202="",M202="",N202="",O202="",P202="",Q202=""),"ligne incomplète","Valide")))</f>
        <v xml:space="preserve">ligne vide</v>
      </c>
      <c r="K202" s="48" t="str">
        <f>IF(ISBLANK(B202),IF(ISBLANK(B203),T(B202),"ERREUR"),IF(ISNUMBER(B202),_xlfn.NUMBERVALUE(B202),IF(ISTEXT(B202),VALUE(B202),"ERREUR")))</f>
        <v/>
      </c>
      <c r="L202" s="38" t="str">
        <f>IF(COUNTIF($R$4:$R$6,C202)&gt;0,C202,IF(ISBLANK(C202),IF(ISBLANK(D202),T(C202),"ERREUR"),"ERREUR"))</f>
        <v/>
      </c>
      <c r="M202" s="49" t="str">
        <f>IF(ISBLANK(D202),IF(ISBLANK(D203),T(D202),"ERREUR"),IF(COUNTIF($T$4:$T$240,SUBSTITUTE(SUBSTITUTE(SUBSTITUTE(SUBSTITUTE(SUBSTITUTE(SUBSTITUTE(UPPER(D202),"Å","A"),"É","E"),"È","E"),"Ê","E"),"Î","I"),"Ï","I"))&gt;0,D202,IF(ISBLANK(D202),T(D202),"ERREUR")))</f>
        <v/>
      </c>
      <c r="N202" s="38" t="str">
        <f>IF(COUNTIF($V$4:$V$6,E202)&gt;0,E202,IF(ISBLANK(E202),IF(ISBLANK(E203),T(E202),"ERREUR"),"ERREUR"))</f>
        <v/>
      </c>
      <c r="O202" s="38" t="str">
        <f>IF(COUNTIF($W$4:$W$5,F202)&gt;0,F202,IF(ISBLANK(F202),IF(ISBLANK(F203),T(F202),"ERREUR"),"ERREUR"))</f>
        <v/>
      </c>
      <c r="P202" s="38" t="str">
        <f>IF(COUNTIF($X$4:$X$8,G202)&gt;0,G202,IF(ISBLANK(G202),IF(ISBLANK(G203),T(G202),"ERREUR"),"ERREUR"))</f>
        <v/>
      </c>
      <c r="Q202" s="38" t="str">
        <f>IF(ISNUMBER(H202),IF(INT(H202)=H202,H202,"ERREUR"),IF(ISBLANK(H202),IF(ISBLANK(H203),T(H202),"ERREUR"),"ERREUR"))</f>
        <v/>
      </c>
      <c r="R202" s="38"/>
      <c r="S202" s="1" t="s">
        <v>445</v>
      </c>
      <c r="T202" s="39" t="s">
        <v>446</v>
      </c>
      <c r="U202" s="38" t="str">
        <f>SUBSTITUTE(SUBSTITUTE(SUBSTITUTE(SUBSTITUTE(SUBSTITUTE(SUBSTITUTE(SUBSTITUTE(SUBSTITUTE(UPPER(S202),"Å","A"),"É","E"),"È","E"),"Ê","E"),"Ë","E"),"Î","I"),"Ï","I"),"Ô","O")</f>
        <v>SERBIE</v>
      </c>
      <c r="V202" s="38"/>
      <c r="W202" s="38"/>
      <c r="X202" s="53"/>
      <c r="Y202" s="42"/>
      <c r="Z202" s="42"/>
      <c r="AA202" s="42"/>
    </row>
    <row r="203" ht="13.75" customHeight="1">
      <c r="A203" s="14" t="s">
        <v>140</v>
      </c>
      <c r="B203" s="50"/>
      <c r="C203" s="43"/>
      <c r="D203" s="43"/>
      <c r="E203" s="44"/>
      <c r="F203" s="44"/>
      <c r="G203" s="44"/>
      <c r="H203" s="45"/>
      <c r="I203" s="54"/>
      <c r="J203" s="47" t="str">
        <f>IF(OR(K203="ERREUR",L203="ERREUR",M203="ERREUR",N203="ERREUR",O203="ERREUR",P203="ERREUR",Q203="ERREUR"),"ERREUR",IF(AND(K203="",L203="",M203="",N203="",O203="",P203="",Q203=""),"ligne vide",IF(OR(K203="",L203="",M203="",N203="",O203="",P203="",Q203=""),"ligne incomplète","Valide")))</f>
        <v xml:space="preserve">ligne vide</v>
      </c>
      <c r="K203" s="48" t="str">
        <f>IF(ISBLANK(B203),IF(ISBLANK(B204),T(B203),"ERREUR"),IF(ISNUMBER(B203),_xlfn.NUMBERVALUE(B203),IF(ISTEXT(B203),VALUE(B203),"ERREUR")))</f>
        <v/>
      </c>
      <c r="L203" s="38" t="str">
        <f>IF(COUNTIF($R$4:$R$6,C203)&gt;0,C203,IF(ISBLANK(C203),IF(ISBLANK(D203),T(C203),"ERREUR"),"ERREUR"))</f>
        <v/>
      </c>
      <c r="M203" s="49" t="str">
        <f>IF(ISBLANK(D203),IF(ISBLANK(D204),T(D203),"ERREUR"),IF(COUNTIF($T$4:$T$240,SUBSTITUTE(SUBSTITUTE(SUBSTITUTE(SUBSTITUTE(SUBSTITUTE(SUBSTITUTE(UPPER(D203),"Å","A"),"É","E"),"È","E"),"Ê","E"),"Î","I"),"Ï","I"))&gt;0,D203,IF(ISBLANK(D203),T(D203),"ERREUR")))</f>
        <v/>
      </c>
      <c r="N203" s="38" t="str">
        <f>IF(COUNTIF($V$4:$V$6,E203)&gt;0,E203,IF(ISBLANK(E203),IF(ISBLANK(E204),T(E203),"ERREUR"),"ERREUR"))</f>
        <v/>
      </c>
      <c r="O203" s="38" t="str">
        <f>IF(COUNTIF($W$4:$W$5,F203)&gt;0,F203,IF(ISBLANK(F203),IF(ISBLANK(F204),T(F203),"ERREUR"),"ERREUR"))</f>
        <v/>
      </c>
      <c r="P203" s="38" t="str">
        <f>IF(COUNTIF($X$4:$X$8,G203)&gt;0,G203,IF(ISBLANK(G203),IF(ISBLANK(G204),T(G203),"ERREUR"),"ERREUR"))</f>
        <v/>
      </c>
      <c r="Q203" s="38" t="str">
        <f>IF(ISNUMBER(H203),IF(INT(H203)=H203,H203,"ERREUR"),IF(ISBLANK(H203),IF(ISBLANK(H204),T(H203),"ERREUR"),"ERREUR"))</f>
        <v/>
      </c>
      <c r="R203" s="38"/>
      <c r="S203" s="1" t="s">
        <v>447</v>
      </c>
      <c r="T203" s="39" t="s">
        <v>448</v>
      </c>
      <c r="U203" s="38" t="str">
        <f>SUBSTITUTE(SUBSTITUTE(SUBSTITUTE(SUBSTITUTE(SUBSTITUTE(SUBSTITUTE(SUBSTITUTE(SUBSTITUTE(UPPER(S203),"Å","A"),"É","E"),"È","E"),"Ê","E"),"Ë","E"),"Î","I"),"Ï","I"),"Ô","O")</f>
        <v>SEYCHELLES</v>
      </c>
      <c r="V203" s="38"/>
      <c r="W203" s="38"/>
      <c r="X203" s="53"/>
      <c r="Y203" s="42"/>
      <c r="Z203" s="42"/>
      <c r="AA203" s="42"/>
    </row>
    <row r="204" ht="13.75" customHeight="1">
      <c r="A204" s="14" t="s">
        <v>140</v>
      </c>
      <c r="B204" s="50"/>
      <c r="C204" s="43"/>
      <c r="D204" s="43"/>
      <c r="E204" s="44"/>
      <c r="F204" s="44"/>
      <c r="G204" s="44"/>
      <c r="H204" s="45"/>
      <c r="I204" s="54"/>
      <c r="J204" s="47" t="str">
        <f>IF(OR(K204="ERREUR",L204="ERREUR",M204="ERREUR",N204="ERREUR",O204="ERREUR",P204="ERREUR",Q204="ERREUR"),"ERREUR",IF(AND(K204="",L204="",M204="",N204="",O204="",P204="",Q204=""),"ligne vide",IF(OR(K204="",L204="",M204="",N204="",O204="",P204="",Q204=""),"ligne incomplète","Valide")))</f>
        <v xml:space="preserve">ligne vide</v>
      </c>
      <c r="K204" s="48" t="str">
        <f>IF(ISBLANK(B204),IF(ISBLANK(B205),T(B204),"ERREUR"),IF(ISNUMBER(B204),_xlfn.NUMBERVALUE(B204),IF(ISTEXT(B204),VALUE(B204),"ERREUR")))</f>
        <v/>
      </c>
      <c r="L204" s="38" t="str">
        <f>IF(COUNTIF($R$4:$R$6,C204)&gt;0,C204,IF(ISBLANK(C204),IF(ISBLANK(D204),T(C204),"ERREUR"),"ERREUR"))</f>
        <v/>
      </c>
      <c r="M204" s="49" t="str">
        <f>IF(ISBLANK(D204),IF(ISBLANK(D205),T(D204),"ERREUR"),IF(COUNTIF($T$4:$T$240,SUBSTITUTE(SUBSTITUTE(SUBSTITUTE(SUBSTITUTE(SUBSTITUTE(SUBSTITUTE(UPPER(D204),"Å","A"),"É","E"),"È","E"),"Ê","E"),"Î","I"),"Ï","I"))&gt;0,D204,IF(ISBLANK(D204),T(D204),"ERREUR")))</f>
        <v/>
      </c>
      <c r="N204" s="38" t="str">
        <f>IF(COUNTIF($V$4:$V$6,E204)&gt;0,E204,IF(ISBLANK(E204),IF(ISBLANK(E205),T(E204),"ERREUR"),"ERREUR"))</f>
        <v/>
      </c>
      <c r="O204" s="38" t="str">
        <f>IF(COUNTIF($W$4:$W$5,F204)&gt;0,F204,IF(ISBLANK(F204),IF(ISBLANK(F205),T(F204),"ERREUR"),"ERREUR"))</f>
        <v/>
      </c>
      <c r="P204" s="38" t="str">
        <f>IF(COUNTIF($X$4:$X$8,G204)&gt;0,G204,IF(ISBLANK(G204),IF(ISBLANK(G205),T(G204),"ERREUR"),"ERREUR"))</f>
        <v/>
      </c>
      <c r="Q204" s="38" t="str">
        <f>IF(ISNUMBER(H204),IF(INT(H204)=H204,H204,"ERREUR"),IF(ISBLANK(H204),IF(ISBLANK(H205),T(H204),"ERREUR"),"ERREUR"))</f>
        <v/>
      </c>
      <c r="R204" s="38"/>
      <c r="S204" s="1" t="s">
        <v>449</v>
      </c>
      <c r="T204" s="39" t="s">
        <v>450</v>
      </c>
      <c r="U204" s="38" t="str">
        <f>SUBSTITUTE(SUBSTITUTE(SUBSTITUTE(SUBSTITUTE(SUBSTITUTE(SUBSTITUTE(SUBSTITUTE(SUBSTITUTE(UPPER(S204),"Å","A"),"É","E"),"È","E"),"Ê","E"),"Ë","E"),"Î","I"),"Ï","I"),"Ô","O")</f>
        <v xml:space="preserve">SIERRA LEONE</v>
      </c>
      <c r="V204" s="38"/>
      <c r="W204" s="38"/>
      <c r="X204" s="53"/>
      <c r="Y204" s="42"/>
      <c r="Z204" s="42"/>
      <c r="AA204" s="42"/>
    </row>
    <row r="205" ht="13.75" customHeight="1">
      <c r="A205" s="14" t="s">
        <v>140</v>
      </c>
      <c r="B205" s="50"/>
      <c r="C205" s="43"/>
      <c r="D205" s="43"/>
      <c r="E205" s="44"/>
      <c r="F205" s="44"/>
      <c r="G205" s="44"/>
      <c r="H205" s="45"/>
      <c r="I205" s="54"/>
      <c r="J205" s="47" t="str">
        <f>IF(OR(K205="ERREUR",L205="ERREUR",M205="ERREUR",N205="ERREUR",O205="ERREUR",P205="ERREUR",Q205="ERREUR"),"ERREUR",IF(AND(K205="",L205="",M205="",N205="",O205="",P205="",Q205=""),"ligne vide",IF(OR(K205="",L205="",M205="",N205="",O205="",P205="",Q205=""),"ligne incomplète","Valide")))</f>
        <v xml:space="preserve">ligne vide</v>
      </c>
      <c r="K205" s="48" t="str">
        <f>IF(ISBLANK(B205),IF(ISBLANK(B206),T(B205),"ERREUR"),IF(ISNUMBER(B205),_xlfn.NUMBERVALUE(B205),IF(ISTEXT(B205),VALUE(B205),"ERREUR")))</f>
        <v/>
      </c>
      <c r="L205" s="38" t="str">
        <f>IF(COUNTIF($R$4:$R$6,C205)&gt;0,C205,IF(ISBLANK(C205),IF(ISBLANK(D205),T(C205),"ERREUR"),"ERREUR"))</f>
        <v/>
      </c>
      <c r="M205" s="49" t="str">
        <f>IF(ISBLANK(D205),IF(ISBLANK(D206),T(D205),"ERREUR"),IF(COUNTIF($T$4:$T$240,SUBSTITUTE(SUBSTITUTE(SUBSTITUTE(SUBSTITUTE(SUBSTITUTE(SUBSTITUTE(UPPER(D205),"Å","A"),"É","E"),"È","E"),"Ê","E"),"Î","I"),"Ï","I"))&gt;0,D205,IF(ISBLANK(D205),T(D205),"ERREUR")))</f>
        <v/>
      </c>
      <c r="N205" s="38" t="str">
        <f>IF(COUNTIF($V$4:$V$6,E205)&gt;0,E205,IF(ISBLANK(E205),IF(ISBLANK(E206),T(E205),"ERREUR"),"ERREUR"))</f>
        <v/>
      </c>
      <c r="O205" s="38" t="str">
        <f>IF(COUNTIF($W$4:$W$5,F205)&gt;0,F205,IF(ISBLANK(F205),IF(ISBLANK(F206),T(F205),"ERREUR"),"ERREUR"))</f>
        <v/>
      </c>
      <c r="P205" s="38" t="str">
        <f>IF(COUNTIF($X$4:$X$8,G205)&gt;0,G205,IF(ISBLANK(G205),IF(ISBLANK(G206),T(G205),"ERREUR"),"ERREUR"))</f>
        <v/>
      </c>
      <c r="Q205" s="38" t="str">
        <f>IF(ISNUMBER(H205),IF(INT(H205)=H205,H205,"ERREUR"),IF(ISBLANK(H205),IF(ISBLANK(H206),T(H205),"ERREUR"),"ERREUR"))</f>
        <v/>
      </c>
      <c r="R205" s="38"/>
      <c r="S205" s="1" t="s">
        <v>451</v>
      </c>
      <c r="T205" s="39" t="s">
        <v>452</v>
      </c>
      <c r="U205" s="38" t="str">
        <f>SUBSTITUTE(SUBSTITUTE(SUBSTITUTE(SUBSTITUTE(SUBSTITUTE(SUBSTITUTE(SUBSTITUTE(SUBSTITUTE(UPPER(S205),"Å","A"),"É","E"),"È","E"),"Ê","E"),"Ë","E"),"Î","I"),"Ï","I"),"Ô","O")</f>
        <v>SINGAPOUR</v>
      </c>
      <c r="V205" s="38"/>
      <c r="W205" s="38"/>
      <c r="X205" s="53"/>
      <c r="Y205" s="42"/>
      <c r="Z205" s="42"/>
      <c r="AA205" s="42"/>
    </row>
    <row r="206" ht="13.75" customHeight="1">
      <c r="A206" s="14" t="s">
        <v>140</v>
      </c>
      <c r="B206" s="50"/>
      <c r="C206" s="43"/>
      <c r="D206" s="43"/>
      <c r="E206" s="44"/>
      <c r="F206" s="44"/>
      <c r="G206" s="44"/>
      <c r="H206" s="45"/>
      <c r="I206" s="54"/>
      <c r="J206" s="47" t="str">
        <f>IF(OR(K206="ERREUR",L206="ERREUR",M206="ERREUR",N206="ERREUR",O206="ERREUR",P206="ERREUR",Q206="ERREUR"),"ERREUR",IF(AND(K206="",L206="",M206="",N206="",O206="",P206="",Q206=""),"ligne vide",IF(OR(K206="",L206="",M206="",N206="",O206="",P206="",Q206=""),"ligne incomplète","Valide")))</f>
        <v xml:space="preserve">ligne vide</v>
      </c>
      <c r="K206" s="48" t="str">
        <f>IF(ISBLANK(B206),IF(ISBLANK(B207),T(B206),"ERREUR"),IF(ISNUMBER(B206),_xlfn.NUMBERVALUE(B206),IF(ISTEXT(B206),VALUE(B206),"ERREUR")))</f>
        <v/>
      </c>
      <c r="L206" s="38" t="str">
        <f>IF(COUNTIF($R$4:$R$6,C206)&gt;0,C206,IF(ISBLANK(C206),IF(ISBLANK(D206),T(C206),"ERREUR"),"ERREUR"))</f>
        <v/>
      </c>
      <c r="M206" s="49" t="str">
        <f>IF(ISBLANK(D206),IF(ISBLANK(D207),T(D206),"ERREUR"),IF(COUNTIF($T$4:$T$240,SUBSTITUTE(SUBSTITUTE(SUBSTITUTE(SUBSTITUTE(SUBSTITUTE(SUBSTITUTE(UPPER(D206),"Å","A"),"É","E"),"È","E"),"Ê","E"),"Î","I"),"Ï","I"))&gt;0,D206,IF(ISBLANK(D206),T(D206),"ERREUR")))</f>
        <v/>
      </c>
      <c r="N206" s="38" t="str">
        <f>IF(COUNTIF($V$4:$V$6,E206)&gt;0,E206,IF(ISBLANK(E206),IF(ISBLANK(E207),T(E206),"ERREUR"),"ERREUR"))</f>
        <v/>
      </c>
      <c r="O206" s="38" t="str">
        <f>IF(COUNTIF($W$4:$W$5,F206)&gt;0,F206,IF(ISBLANK(F206),IF(ISBLANK(F207),T(F206),"ERREUR"),"ERREUR"))</f>
        <v/>
      </c>
      <c r="P206" s="38" t="str">
        <f>IF(COUNTIF($X$4:$X$8,G206)&gt;0,G206,IF(ISBLANK(G206),IF(ISBLANK(G207),T(G206),"ERREUR"),"ERREUR"))</f>
        <v/>
      </c>
      <c r="Q206" s="38" t="str">
        <f>IF(ISNUMBER(H206),IF(INT(H206)=H206,H206,"ERREUR"),IF(ISBLANK(H206),IF(ISBLANK(H207),T(H206),"ERREUR"),"ERREUR"))</f>
        <v/>
      </c>
      <c r="R206" s="38"/>
      <c r="S206" s="1" t="s">
        <v>453</v>
      </c>
      <c r="T206" s="39" t="s">
        <v>454</v>
      </c>
      <c r="U206" s="38" t="str">
        <f>SUBSTITUTE(SUBSTITUTE(SUBSTITUTE(SUBSTITUTE(SUBSTITUTE(SUBSTITUTE(SUBSTITUTE(SUBSTITUTE(UPPER(S206),"Å","A"),"É","E"),"È","E"),"Ê","E"),"Ë","E"),"Î","I"),"Ï","I"),"Ô","O")</f>
        <v>SLOVAQUIE</v>
      </c>
      <c r="V206" s="38"/>
      <c r="W206" s="38"/>
      <c r="X206" s="53"/>
      <c r="Y206" s="42"/>
      <c r="Z206" s="42"/>
      <c r="AA206" s="42"/>
    </row>
    <row r="207" ht="13.75" customHeight="1">
      <c r="A207" s="14" t="s">
        <v>140</v>
      </c>
      <c r="B207" s="50"/>
      <c r="C207" s="43"/>
      <c r="D207" s="43"/>
      <c r="E207" s="44"/>
      <c r="F207" s="44"/>
      <c r="G207" s="44"/>
      <c r="H207" s="45"/>
      <c r="I207" s="54"/>
      <c r="J207" s="47" t="str">
        <f>IF(OR(K207="ERREUR",L207="ERREUR",M207="ERREUR",N207="ERREUR",O207="ERREUR",P207="ERREUR",Q207="ERREUR"),"ERREUR",IF(AND(K207="",L207="",M207="",N207="",O207="",P207="",Q207=""),"ligne vide",IF(OR(K207="",L207="",M207="",N207="",O207="",P207="",Q207=""),"ligne incomplète","Valide")))</f>
        <v xml:space="preserve">ligne vide</v>
      </c>
      <c r="K207" s="48" t="str">
        <f>IF(ISBLANK(B207),IF(ISBLANK(B208),T(B207),"ERREUR"),IF(ISNUMBER(B207),_xlfn.NUMBERVALUE(B207),IF(ISTEXT(B207),VALUE(B207),"ERREUR")))</f>
        <v/>
      </c>
      <c r="L207" s="38" t="str">
        <f>IF(COUNTIF($R$4:$R$6,C207)&gt;0,C207,IF(ISBLANK(C207),IF(ISBLANK(D207),T(C207),"ERREUR"),"ERREUR"))</f>
        <v/>
      </c>
      <c r="M207" s="49" t="str">
        <f>IF(ISBLANK(D207),IF(ISBLANK(D208),T(D207),"ERREUR"),IF(COUNTIF($T$4:$T$240,SUBSTITUTE(SUBSTITUTE(SUBSTITUTE(SUBSTITUTE(SUBSTITUTE(SUBSTITUTE(UPPER(D207),"Å","A"),"É","E"),"È","E"),"Ê","E"),"Î","I"),"Ï","I"))&gt;0,D207,IF(ISBLANK(D207),T(D207),"ERREUR")))</f>
        <v/>
      </c>
      <c r="N207" s="38" t="str">
        <f>IF(COUNTIF($V$4:$V$6,E207)&gt;0,E207,IF(ISBLANK(E207),IF(ISBLANK(E208),T(E207),"ERREUR"),"ERREUR"))</f>
        <v/>
      </c>
      <c r="O207" s="38" t="str">
        <f>IF(COUNTIF($W$4:$W$5,F207)&gt;0,F207,IF(ISBLANK(F207),IF(ISBLANK(F208),T(F207),"ERREUR"),"ERREUR"))</f>
        <v/>
      </c>
      <c r="P207" s="38" t="str">
        <f>IF(COUNTIF($X$4:$X$8,G207)&gt;0,G207,IF(ISBLANK(G207),IF(ISBLANK(G208),T(G207),"ERREUR"),"ERREUR"))</f>
        <v/>
      </c>
      <c r="Q207" s="38" t="str">
        <f>IF(ISNUMBER(H207),IF(INT(H207)=H207,H207,"ERREUR"),IF(ISBLANK(H207),IF(ISBLANK(H208),T(H207),"ERREUR"),"ERREUR"))</f>
        <v/>
      </c>
      <c r="R207" s="38"/>
      <c r="S207" s="1" t="s">
        <v>455</v>
      </c>
      <c r="T207" s="39" t="s">
        <v>456</v>
      </c>
      <c r="U207" s="38" t="str">
        <f>SUBSTITUTE(SUBSTITUTE(SUBSTITUTE(SUBSTITUTE(SUBSTITUTE(SUBSTITUTE(SUBSTITUTE(SUBSTITUTE(UPPER(S207),"Å","A"),"É","E"),"È","E"),"Ê","E"),"Ë","E"),"Î","I"),"Ï","I"),"Ô","O")</f>
        <v>SLOVENIE</v>
      </c>
      <c r="V207" s="38"/>
      <c r="W207" s="38"/>
      <c r="X207" s="53"/>
      <c r="Y207" s="42"/>
      <c r="Z207" s="42"/>
      <c r="AA207" s="42"/>
    </row>
    <row r="208" ht="13.75" customHeight="1">
      <c r="A208" s="14" t="s">
        <v>140</v>
      </c>
      <c r="B208" s="50"/>
      <c r="C208" s="43"/>
      <c r="D208" s="43"/>
      <c r="E208" s="44"/>
      <c r="F208" s="44"/>
      <c r="G208" s="44"/>
      <c r="H208" s="45"/>
      <c r="I208" s="54"/>
      <c r="J208" s="47" t="str">
        <f>IF(OR(K208="ERREUR",L208="ERREUR",M208="ERREUR",N208="ERREUR",O208="ERREUR",P208="ERREUR",Q208="ERREUR"),"ERREUR",IF(AND(K208="",L208="",M208="",N208="",O208="",P208="",Q208=""),"ligne vide",IF(OR(K208="",L208="",M208="",N208="",O208="",P208="",Q208=""),"ligne incomplète","Valide")))</f>
        <v xml:space="preserve">ligne vide</v>
      </c>
      <c r="K208" s="48" t="str">
        <f>IF(ISBLANK(B208),IF(ISBLANK(B209),T(B208),"ERREUR"),IF(ISNUMBER(B208),_xlfn.NUMBERVALUE(B208),IF(ISTEXT(B208),VALUE(B208),"ERREUR")))</f>
        <v/>
      </c>
      <c r="L208" s="38" t="str">
        <f>IF(COUNTIF($R$4:$R$6,C208)&gt;0,C208,IF(ISBLANK(C208),IF(ISBLANK(D208),T(C208),"ERREUR"),"ERREUR"))</f>
        <v/>
      </c>
      <c r="M208" s="49" t="str">
        <f>IF(ISBLANK(D208),IF(ISBLANK(D209),T(D208),"ERREUR"),IF(COUNTIF($T$4:$T$240,SUBSTITUTE(SUBSTITUTE(SUBSTITUTE(SUBSTITUTE(SUBSTITUTE(SUBSTITUTE(UPPER(D208),"Å","A"),"É","E"),"È","E"),"Ê","E"),"Î","I"),"Ï","I"))&gt;0,D208,IF(ISBLANK(D208),T(D208),"ERREUR")))</f>
        <v/>
      </c>
      <c r="N208" s="38" t="str">
        <f>IF(COUNTIF($V$4:$V$6,E208)&gt;0,E208,IF(ISBLANK(E208),IF(ISBLANK(E209),T(E208),"ERREUR"),"ERREUR"))</f>
        <v/>
      </c>
      <c r="O208" s="38" t="str">
        <f>IF(COUNTIF($W$4:$W$5,F208)&gt;0,F208,IF(ISBLANK(F208),IF(ISBLANK(F209),T(F208),"ERREUR"),"ERREUR"))</f>
        <v/>
      </c>
      <c r="P208" s="38" t="str">
        <f>IF(COUNTIF($X$4:$X$8,G208)&gt;0,G208,IF(ISBLANK(G208),IF(ISBLANK(G209),T(G208),"ERREUR"),"ERREUR"))</f>
        <v/>
      </c>
      <c r="Q208" s="38" t="str">
        <f>IF(ISNUMBER(H208),IF(INT(H208)=H208,H208,"ERREUR"),IF(ISBLANK(H208),IF(ISBLANK(H209),T(H208),"ERREUR"),"ERREUR"))</f>
        <v/>
      </c>
      <c r="R208" s="38"/>
      <c r="S208" s="1" t="s">
        <v>457</v>
      </c>
      <c r="T208" s="39" t="s">
        <v>458</v>
      </c>
      <c r="U208" s="38" t="str">
        <f>SUBSTITUTE(SUBSTITUTE(SUBSTITUTE(SUBSTITUTE(SUBSTITUTE(SUBSTITUTE(SUBSTITUTE(SUBSTITUTE(UPPER(S208),"Å","A"),"É","E"),"È","E"),"Ê","E"),"Ë","E"),"Î","I"),"Ï","I"),"Ô","O")</f>
        <v>SOMALIE</v>
      </c>
      <c r="V208" s="38"/>
      <c r="W208" s="38"/>
      <c r="X208" s="53"/>
      <c r="Y208" s="42"/>
      <c r="Z208" s="42"/>
      <c r="AA208" s="42"/>
    </row>
    <row r="209" ht="13.75" customHeight="1">
      <c r="A209" s="14" t="s">
        <v>140</v>
      </c>
      <c r="B209" s="50"/>
      <c r="C209" s="43"/>
      <c r="D209" s="43"/>
      <c r="E209" s="44"/>
      <c r="F209" s="44"/>
      <c r="G209" s="44"/>
      <c r="H209" s="45"/>
      <c r="I209" s="54"/>
      <c r="J209" s="47" t="str">
        <f>IF(OR(K209="ERREUR",L209="ERREUR",M209="ERREUR",N209="ERREUR",O209="ERREUR",P209="ERREUR",Q209="ERREUR"),"ERREUR",IF(AND(K209="",L209="",M209="",N209="",O209="",P209="",Q209=""),"ligne vide",IF(OR(K209="",L209="",M209="",N209="",O209="",P209="",Q209=""),"ligne incomplète","Valide")))</f>
        <v xml:space="preserve">ligne vide</v>
      </c>
      <c r="K209" s="48" t="str">
        <f>IF(ISBLANK(B209),IF(ISBLANK(B210),T(B209),"ERREUR"),IF(ISNUMBER(B209),_xlfn.NUMBERVALUE(B209),IF(ISTEXT(B209),VALUE(B209),"ERREUR")))</f>
        <v/>
      </c>
      <c r="L209" s="38" t="str">
        <f>IF(COUNTIF($R$4:$R$6,C209)&gt;0,C209,IF(ISBLANK(C209),IF(ISBLANK(D209),T(C209),"ERREUR"),"ERREUR"))</f>
        <v/>
      </c>
      <c r="M209" s="49" t="str">
        <f>IF(ISBLANK(D209),IF(ISBLANK(D210),T(D209),"ERREUR"),IF(COUNTIF($T$4:$T$240,SUBSTITUTE(SUBSTITUTE(SUBSTITUTE(SUBSTITUTE(SUBSTITUTE(SUBSTITUTE(UPPER(D209),"Å","A"),"É","E"),"È","E"),"Ê","E"),"Î","I"),"Ï","I"))&gt;0,D209,IF(ISBLANK(D209),T(D209),"ERREUR")))</f>
        <v/>
      </c>
      <c r="N209" s="38" t="str">
        <f>IF(COUNTIF($V$4:$V$6,E209)&gt;0,E209,IF(ISBLANK(E209),IF(ISBLANK(E210),T(E209),"ERREUR"),"ERREUR"))</f>
        <v/>
      </c>
      <c r="O209" s="38" t="str">
        <f>IF(COUNTIF($W$4:$W$5,F209)&gt;0,F209,IF(ISBLANK(F209),IF(ISBLANK(F210),T(F209),"ERREUR"),"ERREUR"))</f>
        <v/>
      </c>
      <c r="P209" s="38" t="str">
        <f>IF(COUNTIF($X$4:$X$8,G209)&gt;0,G209,IF(ISBLANK(G209),IF(ISBLANK(G210),T(G209),"ERREUR"),"ERREUR"))</f>
        <v/>
      </c>
      <c r="Q209" s="38" t="str">
        <f>IF(ISNUMBER(H209),IF(INT(H209)=H209,H209,"ERREUR"),IF(ISBLANK(H209),IF(ISBLANK(H210),T(H209),"ERREUR"),"ERREUR"))</f>
        <v/>
      </c>
      <c r="R209" s="38"/>
      <c r="S209" s="1" t="s">
        <v>459</v>
      </c>
      <c r="T209" s="39" t="s">
        <v>460</v>
      </c>
      <c r="U209" s="38" t="str">
        <f>SUBSTITUTE(SUBSTITUTE(SUBSTITUTE(SUBSTITUTE(SUBSTITUTE(SUBSTITUTE(SUBSTITUTE(SUBSTITUTE(UPPER(S209),"Å","A"),"É","E"),"È","E"),"Ê","E"),"Ë","E"),"Î","I"),"Ï","I"),"Ô","O")</f>
        <v>SOUDAN</v>
      </c>
      <c r="V209" s="38"/>
      <c r="W209" s="38"/>
      <c r="X209" s="53"/>
      <c r="Y209" s="42"/>
      <c r="Z209" s="42"/>
      <c r="AA209" s="42"/>
    </row>
    <row r="210" ht="13.75" customHeight="1">
      <c r="A210" s="14" t="s">
        <v>140</v>
      </c>
      <c r="B210" s="50"/>
      <c r="C210" s="43"/>
      <c r="D210" s="43"/>
      <c r="E210" s="44"/>
      <c r="F210" s="44"/>
      <c r="G210" s="44"/>
      <c r="H210" s="45"/>
      <c r="I210" s="54"/>
      <c r="J210" s="47" t="str">
        <f>IF(OR(K210="ERREUR",L210="ERREUR",M210="ERREUR",N210="ERREUR",O210="ERREUR",P210="ERREUR",Q210="ERREUR"),"ERREUR",IF(AND(K210="",L210="",M210="",N210="",O210="",P210="",Q210=""),"ligne vide",IF(OR(K210="",L210="",M210="",N210="",O210="",P210="",Q210=""),"ligne incomplète","Valide")))</f>
        <v xml:space="preserve">ligne vide</v>
      </c>
      <c r="K210" s="48" t="str">
        <f>IF(ISBLANK(B210),IF(ISBLANK(B211),T(B210),"ERREUR"),IF(ISNUMBER(B210),_xlfn.NUMBERVALUE(B210),IF(ISTEXT(B210),VALUE(B210),"ERREUR")))</f>
        <v/>
      </c>
      <c r="L210" s="38" t="str">
        <f>IF(COUNTIF($R$4:$R$6,C210)&gt;0,C210,IF(ISBLANK(C210),IF(ISBLANK(D210),T(C210),"ERREUR"),"ERREUR"))</f>
        <v/>
      </c>
      <c r="M210" s="49" t="str">
        <f>IF(ISBLANK(D210),IF(ISBLANK(D211),T(D210),"ERREUR"),IF(COUNTIF($T$4:$T$240,SUBSTITUTE(SUBSTITUTE(SUBSTITUTE(SUBSTITUTE(SUBSTITUTE(SUBSTITUTE(UPPER(D210),"Å","A"),"É","E"),"È","E"),"Ê","E"),"Î","I"),"Ï","I"))&gt;0,D210,IF(ISBLANK(D210),T(D210),"ERREUR")))</f>
        <v/>
      </c>
      <c r="N210" s="38" t="str">
        <f>IF(COUNTIF($V$4:$V$6,E210)&gt;0,E210,IF(ISBLANK(E210),IF(ISBLANK(E211),T(E210),"ERREUR"),"ERREUR"))</f>
        <v/>
      </c>
      <c r="O210" s="38" t="str">
        <f>IF(COUNTIF($W$4:$W$5,F210)&gt;0,F210,IF(ISBLANK(F210),IF(ISBLANK(F211),T(F210),"ERREUR"),"ERREUR"))</f>
        <v/>
      </c>
      <c r="P210" s="38" t="str">
        <f>IF(COUNTIF($X$4:$X$8,G210)&gt;0,G210,IF(ISBLANK(G210),IF(ISBLANK(G211),T(G210),"ERREUR"),"ERREUR"))</f>
        <v/>
      </c>
      <c r="Q210" s="38" t="str">
        <f>IF(ISNUMBER(H210),IF(INT(H210)=H210,H210,"ERREUR"),IF(ISBLANK(H210),IF(ISBLANK(H211),T(H210),"ERREUR"),"ERREUR"))</f>
        <v/>
      </c>
      <c r="R210" s="38"/>
      <c r="S210" s="1" t="s">
        <v>461</v>
      </c>
      <c r="T210" s="39" t="s">
        <v>462</v>
      </c>
      <c r="U210" s="38" t="str">
        <f>SUBSTITUTE(SUBSTITUTE(SUBSTITUTE(SUBSTITUTE(SUBSTITUTE(SUBSTITUTE(SUBSTITUTE(SUBSTITUTE(UPPER(S210),"Å","A"),"É","E"),"È","E"),"Ê","E"),"Ë","E"),"Î","I"),"Ï","I"),"Ô","O")</f>
        <v xml:space="preserve">SOUDAN DU SUD</v>
      </c>
      <c r="V210" s="38"/>
      <c r="W210" s="38"/>
      <c r="X210" s="53"/>
      <c r="Y210" s="42"/>
      <c r="Z210" s="42"/>
      <c r="AA210" s="42"/>
    </row>
    <row r="211" ht="13.75" customHeight="1">
      <c r="A211" s="14" t="s">
        <v>140</v>
      </c>
      <c r="B211" s="50"/>
      <c r="C211" s="43"/>
      <c r="D211" s="43"/>
      <c r="E211" s="44"/>
      <c r="F211" s="44"/>
      <c r="G211" s="44"/>
      <c r="H211" s="45"/>
      <c r="I211" s="54"/>
      <c r="J211" s="47" t="str">
        <f>IF(OR(K211="ERREUR",L211="ERREUR",M211="ERREUR",N211="ERREUR",O211="ERREUR",P211="ERREUR",Q211="ERREUR"),"ERREUR",IF(AND(K211="",L211="",M211="",N211="",O211="",P211="",Q211=""),"ligne vide",IF(OR(K211="",L211="",M211="",N211="",O211="",P211="",Q211=""),"ligne incomplète","Valide")))</f>
        <v xml:space="preserve">ligne vide</v>
      </c>
      <c r="K211" s="48" t="str">
        <f>IF(ISBLANK(B211),IF(ISBLANK(B212),T(B211),"ERREUR"),IF(ISNUMBER(B211),_xlfn.NUMBERVALUE(B211),IF(ISTEXT(B211),VALUE(B211),"ERREUR")))</f>
        <v/>
      </c>
      <c r="L211" s="38" t="str">
        <f>IF(COUNTIF($R$4:$R$6,C211)&gt;0,C211,IF(ISBLANK(C211),IF(ISBLANK(D211),T(C211),"ERREUR"),"ERREUR"))</f>
        <v/>
      </c>
      <c r="M211" s="49" t="str">
        <f>IF(ISBLANK(D211),IF(ISBLANK(D212),T(D211),"ERREUR"),IF(COUNTIF($T$4:$T$240,SUBSTITUTE(SUBSTITUTE(SUBSTITUTE(SUBSTITUTE(SUBSTITUTE(SUBSTITUTE(UPPER(D211),"Å","A"),"É","E"),"È","E"),"Ê","E"),"Î","I"),"Ï","I"))&gt;0,D211,IF(ISBLANK(D211),T(D211),"ERREUR")))</f>
        <v/>
      </c>
      <c r="N211" s="38" t="str">
        <f>IF(COUNTIF($V$4:$V$6,E211)&gt;0,E211,IF(ISBLANK(E211),IF(ISBLANK(E212),T(E211),"ERREUR"),"ERREUR"))</f>
        <v/>
      </c>
      <c r="O211" s="38" t="str">
        <f>IF(COUNTIF($W$4:$W$5,F211)&gt;0,F211,IF(ISBLANK(F211),IF(ISBLANK(F212),T(F211),"ERREUR"),"ERREUR"))</f>
        <v/>
      </c>
      <c r="P211" s="38" t="str">
        <f>IF(COUNTIF($X$4:$X$8,G211)&gt;0,G211,IF(ISBLANK(G211),IF(ISBLANK(G212),T(G211),"ERREUR"),"ERREUR"))</f>
        <v/>
      </c>
      <c r="Q211" s="38" t="str">
        <f>IF(ISNUMBER(H211),IF(INT(H211)=H211,H211,"ERREUR"),IF(ISBLANK(H211),IF(ISBLANK(H212),T(H211),"ERREUR"),"ERREUR"))</f>
        <v/>
      </c>
      <c r="R211" s="38"/>
      <c r="S211" s="1" t="s">
        <v>463</v>
      </c>
      <c r="T211" s="39" t="s">
        <v>464</v>
      </c>
      <c r="U211" s="38" t="str">
        <f>SUBSTITUTE(SUBSTITUTE(SUBSTITUTE(SUBSTITUTE(SUBSTITUTE(SUBSTITUTE(SUBSTITUTE(SUBSTITUTE(UPPER(S211),"Å","A"),"É","E"),"È","E"),"Ê","E"),"Ë","E"),"Î","I"),"Ï","I"),"Ô","O")</f>
        <v xml:space="preserve">SRI LANKA</v>
      </c>
      <c r="V211" s="38"/>
      <c r="W211" s="38"/>
      <c r="X211" s="53"/>
      <c r="Y211" s="42"/>
      <c r="Z211" s="42"/>
      <c r="AA211" s="42"/>
    </row>
    <row r="212" ht="13.75" customHeight="1">
      <c r="A212" s="14" t="s">
        <v>140</v>
      </c>
      <c r="B212" s="50"/>
      <c r="C212" s="43"/>
      <c r="D212" s="43"/>
      <c r="E212" s="44"/>
      <c r="F212" s="44"/>
      <c r="G212" s="44"/>
      <c r="H212" s="45"/>
      <c r="I212" s="54"/>
      <c r="J212" s="47" t="str">
        <f>IF(OR(K212="ERREUR",L212="ERREUR",M212="ERREUR",N212="ERREUR",O212="ERREUR",P212="ERREUR",Q212="ERREUR"),"ERREUR",IF(AND(K212="",L212="",M212="",N212="",O212="",P212="",Q212=""),"ligne vide",IF(OR(K212="",L212="",M212="",N212="",O212="",P212="",Q212=""),"ligne incomplète","Valide")))</f>
        <v xml:space="preserve">ligne vide</v>
      </c>
      <c r="K212" s="48" t="str">
        <f>IF(ISBLANK(B212),IF(ISBLANK(B213),T(B212),"ERREUR"),IF(ISNUMBER(B212),_xlfn.NUMBERVALUE(B212),IF(ISTEXT(B212),VALUE(B212),"ERREUR")))</f>
        <v/>
      </c>
      <c r="L212" s="38" t="str">
        <f>IF(COUNTIF($R$4:$R$6,C212)&gt;0,C212,IF(ISBLANK(C212),IF(ISBLANK(D212),T(C212),"ERREUR"),"ERREUR"))</f>
        <v/>
      </c>
      <c r="M212" s="49" t="str">
        <f>IF(ISBLANK(D212),IF(ISBLANK(D213),T(D212),"ERREUR"),IF(COUNTIF($T$4:$T$240,SUBSTITUTE(SUBSTITUTE(SUBSTITUTE(SUBSTITUTE(SUBSTITUTE(SUBSTITUTE(UPPER(D212),"Å","A"),"É","E"),"È","E"),"Ê","E"),"Î","I"),"Ï","I"))&gt;0,D212,IF(ISBLANK(D212),T(D212),"ERREUR")))</f>
        <v/>
      </c>
      <c r="N212" s="38" t="str">
        <f>IF(COUNTIF($V$4:$V$6,E212)&gt;0,E212,IF(ISBLANK(E212),IF(ISBLANK(E213),T(E212),"ERREUR"),"ERREUR"))</f>
        <v/>
      </c>
      <c r="O212" s="38" t="str">
        <f>IF(COUNTIF($W$4:$W$5,F212)&gt;0,F212,IF(ISBLANK(F212),IF(ISBLANK(F213),T(F212),"ERREUR"),"ERREUR"))</f>
        <v/>
      </c>
      <c r="P212" s="38" t="str">
        <f>IF(COUNTIF($X$4:$X$8,G212)&gt;0,G212,IF(ISBLANK(G212),IF(ISBLANK(G213),T(G212),"ERREUR"),"ERREUR"))</f>
        <v/>
      </c>
      <c r="Q212" s="38" t="str">
        <f>IF(ISNUMBER(H212),IF(INT(H212)=H212,H212,"ERREUR"),IF(ISBLANK(H212),IF(ISBLANK(H213),T(H212),"ERREUR"),"ERREUR"))</f>
        <v/>
      </c>
      <c r="R212" s="38"/>
      <c r="S212" s="1" t="s">
        <v>465</v>
      </c>
      <c r="T212" s="39" t="s">
        <v>466</v>
      </c>
      <c r="U212" s="38" t="str">
        <f>SUBSTITUTE(SUBSTITUTE(SUBSTITUTE(SUBSTITUTE(SUBSTITUTE(SUBSTITUTE(SUBSTITUTE(SUBSTITUTE(UPPER(S212),"Å","A"),"É","E"),"È","E"),"Ê","E"),"Ë","E"),"Î","I"),"Ï","I"),"Ô","O")</f>
        <v>SUEDE</v>
      </c>
      <c r="V212" s="38"/>
      <c r="W212" s="38"/>
      <c r="X212" s="53"/>
      <c r="Y212" s="42"/>
      <c r="Z212" s="42"/>
      <c r="AA212" s="42"/>
    </row>
    <row r="213" ht="13.75" customHeight="1">
      <c r="A213" s="14" t="s">
        <v>140</v>
      </c>
      <c r="B213" s="50"/>
      <c r="C213" s="43"/>
      <c r="D213" s="43"/>
      <c r="E213" s="44"/>
      <c r="F213" s="44"/>
      <c r="G213" s="44"/>
      <c r="H213" s="45"/>
      <c r="I213" s="54"/>
      <c r="J213" s="47" t="str">
        <f>IF(OR(K213="ERREUR",L213="ERREUR",M213="ERREUR",N213="ERREUR",O213="ERREUR",P213="ERREUR",Q213="ERREUR"),"ERREUR",IF(AND(K213="",L213="",M213="",N213="",O213="",P213="",Q213=""),"ligne vide",IF(OR(K213="",L213="",M213="",N213="",O213="",P213="",Q213=""),"ligne incomplète","Valide")))</f>
        <v xml:space="preserve">ligne vide</v>
      </c>
      <c r="K213" s="48" t="str">
        <f>IF(ISBLANK(B213),IF(ISBLANK(B214),T(B213),"ERREUR"),IF(ISNUMBER(B213),_xlfn.NUMBERVALUE(B213),IF(ISTEXT(B213),VALUE(B213),"ERREUR")))</f>
        <v/>
      </c>
      <c r="L213" s="38" t="str">
        <f>IF(COUNTIF($R$4:$R$6,C213)&gt;0,C213,IF(ISBLANK(C213),IF(ISBLANK(D213),T(C213),"ERREUR"),"ERREUR"))</f>
        <v/>
      </c>
      <c r="M213" s="49" t="str">
        <f>IF(ISBLANK(D213),IF(ISBLANK(D214),T(D213),"ERREUR"),IF(COUNTIF($T$4:$T$240,SUBSTITUTE(SUBSTITUTE(SUBSTITUTE(SUBSTITUTE(SUBSTITUTE(SUBSTITUTE(UPPER(D213),"Å","A"),"É","E"),"È","E"),"Ê","E"),"Î","I"),"Ï","I"))&gt;0,D213,IF(ISBLANK(D213),T(D213),"ERREUR")))</f>
        <v/>
      </c>
      <c r="N213" s="38" t="str">
        <f>IF(COUNTIF($V$4:$V$6,E213)&gt;0,E213,IF(ISBLANK(E213),IF(ISBLANK(E214),T(E213),"ERREUR"),"ERREUR"))</f>
        <v/>
      </c>
      <c r="O213" s="38" t="str">
        <f>IF(COUNTIF($W$4:$W$5,F213)&gt;0,F213,IF(ISBLANK(F213),IF(ISBLANK(F214),T(F213),"ERREUR"),"ERREUR"))</f>
        <v/>
      </c>
      <c r="P213" s="38" t="str">
        <f>IF(COUNTIF($X$4:$X$8,G213)&gt;0,G213,IF(ISBLANK(G213),IF(ISBLANK(G214),T(G213),"ERREUR"),"ERREUR"))</f>
        <v/>
      </c>
      <c r="Q213" s="38" t="str">
        <f>IF(ISNUMBER(H213),IF(INT(H213)=H213,H213,"ERREUR"),IF(ISBLANK(H213),IF(ISBLANK(H214),T(H213),"ERREUR"),"ERREUR"))</f>
        <v/>
      </c>
      <c r="R213" s="38"/>
      <c r="S213" s="1" t="s">
        <v>467</v>
      </c>
      <c r="T213" s="39" t="s">
        <v>468</v>
      </c>
      <c r="U213" s="38" t="str">
        <f>SUBSTITUTE(SUBSTITUTE(SUBSTITUTE(SUBSTITUTE(SUBSTITUTE(SUBSTITUTE(SUBSTITUTE(SUBSTITUTE(UPPER(S213),"Å","A"),"É","E"),"È","E"),"Ê","E"),"Ë","E"),"Î","I"),"Ï","I"),"Ô","O")</f>
        <v>SUISSE</v>
      </c>
      <c r="V213" s="38"/>
      <c r="W213" s="38"/>
      <c r="X213" s="53"/>
      <c r="Y213" s="42"/>
      <c r="Z213" s="42"/>
      <c r="AA213" s="42"/>
    </row>
    <row r="214" ht="13.75" customHeight="1">
      <c r="A214" s="14" t="s">
        <v>140</v>
      </c>
      <c r="B214" s="50"/>
      <c r="C214" s="43"/>
      <c r="D214" s="43"/>
      <c r="E214" s="44"/>
      <c r="F214" s="44"/>
      <c r="G214" s="44"/>
      <c r="H214" s="45"/>
      <c r="I214" s="54"/>
      <c r="J214" s="47" t="str">
        <f>IF(OR(K214="ERREUR",L214="ERREUR",M214="ERREUR",N214="ERREUR",O214="ERREUR",P214="ERREUR",Q214="ERREUR"),"ERREUR",IF(AND(K214="",L214="",M214="",N214="",O214="",P214="",Q214=""),"ligne vide",IF(OR(K214="",L214="",M214="",N214="",O214="",P214="",Q214=""),"ligne incomplète","Valide")))</f>
        <v xml:space="preserve">ligne vide</v>
      </c>
      <c r="K214" s="48" t="str">
        <f>IF(ISBLANK(B214),IF(ISBLANK(B215),T(B214),"ERREUR"),IF(ISNUMBER(B214),_xlfn.NUMBERVALUE(B214),IF(ISTEXT(B214),VALUE(B214),"ERREUR")))</f>
        <v/>
      </c>
      <c r="L214" s="38" t="str">
        <f>IF(COUNTIF($R$4:$R$6,C214)&gt;0,C214,IF(ISBLANK(C214),IF(ISBLANK(D214),T(C214),"ERREUR"),"ERREUR"))</f>
        <v/>
      </c>
      <c r="M214" s="49" t="str">
        <f>IF(ISBLANK(D214),IF(ISBLANK(D215),T(D214),"ERREUR"),IF(COUNTIF($T$4:$T$240,SUBSTITUTE(SUBSTITUTE(SUBSTITUTE(SUBSTITUTE(SUBSTITUTE(SUBSTITUTE(UPPER(D214),"Å","A"),"É","E"),"È","E"),"Ê","E"),"Î","I"),"Ï","I"))&gt;0,D214,IF(ISBLANK(D214),T(D214),"ERREUR")))</f>
        <v/>
      </c>
      <c r="N214" s="38" t="str">
        <f>IF(COUNTIF($V$4:$V$6,E214)&gt;0,E214,IF(ISBLANK(E214),IF(ISBLANK(E215),T(E214),"ERREUR"),"ERREUR"))</f>
        <v/>
      </c>
      <c r="O214" s="38" t="str">
        <f>IF(COUNTIF($W$4:$W$5,F214)&gt;0,F214,IF(ISBLANK(F214),IF(ISBLANK(F215),T(F214),"ERREUR"),"ERREUR"))</f>
        <v/>
      </c>
      <c r="P214" s="38" t="str">
        <f>IF(COUNTIF($X$4:$X$8,G214)&gt;0,G214,IF(ISBLANK(G214),IF(ISBLANK(G215),T(G214),"ERREUR"),"ERREUR"))</f>
        <v/>
      </c>
      <c r="Q214" s="38" t="str">
        <f>IF(ISNUMBER(H214),IF(INT(H214)=H214,H214,"ERREUR"),IF(ISBLANK(H214),IF(ISBLANK(H215),T(H214),"ERREUR"),"ERREUR"))</f>
        <v/>
      </c>
      <c r="R214" s="38"/>
      <c r="S214" s="1" t="s">
        <v>469</v>
      </c>
      <c r="T214" s="39" t="s">
        <v>470</v>
      </c>
      <c r="U214" s="38" t="str">
        <f>SUBSTITUTE(SUBSTITUTE(SUBSTITUTE(SUBSTITUTE(SUBSTITUTE(SUBSTITUTE(SUBSTITUTE(SUBSTITUTE(UPPER(S214),"Å","A"),"É","E"),"È","E"),"Ê","E"),"Ë","E"),"Î","I"),"Ï","I"),"Ô","O")</f>
        <v>SURINAM</v>
      </c>
      <c r="V214" s="38"/>
      <c r="W214" s="38"/>
      <c r="X214" s="53"/>
      <c r="Y214" s="42"/>
      <c r="Z214" s="42"/>
      <c r="AA214" s="42"/>
    </row>
    <row r="215" ht="13.75" customHeight="1">
      <c r="A215" s="14" t="s">
        <v>140</v>
      </c>
      <c r="B215" s="50"/>
      <c r="C215" s="43"/>
      <c r="D215" s="43"/>
      <c r="E215" s="44"/>
      <c r="F215" s="44"/>
      <c r="G215" s="44"/>
      <c r="H215" s="45"/>
      <c r="I215" s="54"/>
      <c r="J215" s="47" t="str">
        <f>IF(OR(K215="ERREUR",L215="ERREUR",M215="ERREUR",N215="ERREUR",O215="ERREUR",P215="ERREUR",Q215="ERREUR"),"ERREUR",IF(AND(K215="",L215="",M215="",N215="",O215="",P215="",Q215=""),"ligne vide",IF(OR(K215="",L215="",M215="",N215="",O215="",P215="",Q215=""),"ligne incomplète","Valide")))</f>
        <v xml:space="preserve">ligne vide</v>
      </c>
      <c r="K215" s="48" t="str">
        <f>IF(ISBLANK(B215),IF(ISBLANK(B216),T(B215),"ERREUR"),IF(ISNUMBER(B215),_xlfn.NUMBERVALUE(B215),IF(ISTEXT(B215),VALUE(B215),"ERREUR")))</f>
        <v/>
      </c>
      <c r="L215" s="38" t="str">
        <f>IF(COUNTIF($R$4:$R$6,C215)&gt;0,C215,IF(ISBLANK(C215),IF(ISBLANK(D215),T(C215),"ERREUR"),"ERREUR"))</f>
        <v/>
      </c>
      <c r="M215" s="49" t="str">
        <f>IF(ISBLANK(D215),IF(ISBLANK(D216),T(D215),"ERREUR"),IF(COUNTIF($T$4:$T$240,SUBSTITUTE(SUBSTITUTE(SUBSTITUTE(SUBSTITUTE(SUBSTITUTE(SUBSTITUTE(UPPER(D215),"Å","A"),"É","E"),"È","E"),"Ê","E"),"Î","I"),"Ï","I"))&gt;0,D215,IF(ISBLANK(D215),T(D215),"ERREUR")))</f>
        <v/>
      </c>
      <c r="N215" s="38" t="str">
        <f>IF(COUNTIF($V$4:$V$6,E215)&gt;0,E215,IF(ISBLANK(E215),IF(ISBLANK(E216),T(E215),"ERREUR"),"ERREUR"))</f>
        <v/>
      </c>
      <c r="O215" s="38" t="str">
        <f>IF(COUNTIF($W$4:$W$5,F215)&gt;0,F215,IF(ISBLANK(F215),IF(ISBLANK(F216),T(F215),"ERREUR"),"ERREUR"))</f>
        <v/>
      </c>
      <c r="P215" s="38" t="str">
        <f>IF(COUNTIF($X$4:$X$8,G215)&gt;0,G215,IF(ISBLANK(G215),IF(ISBLANK(G216),T(G215),"ERREUR"),"ERREUR"))</f>
        <v/>
      </c>
      <c r="Q215" s="38" t="str">
        <f>IF(ISNUMBER(H215),IF(INT(H215)=H215,H215,"ERREUR"),IF(ISBLANK(H215),IF(ISBLANK(H216),T(H215),"ERREUR"),"ERREUR"))</f>
        <v/>
      </c>
      <c r="R215" s="38"/>
      <c r="S215" s="1" t="s">
        <v>471</v>
      </c>
      <c r="T215" s="39" t="s">
        <v>472</v>
      </c>
      <c r="U215" s="38" t="str">
        <f>SUBSTITUTE(SUBSTITUTE(SUBSTITUTE(SUBSTITUTE(SUBSTITUTE(SUBSTITUTE(SUBSTITUTE(SUBSTITUTE(UPPER(S215),"Å","A"),"É","E"),"È","E"),"Ê","E"),"Ë","E"),"Î","I"),"Ï","I"),"Ô","O")</f>
        <v xml:space="preserve">SVALBARD ET ILE JAN MAYEN</v>
      </c>
      <c r="V215" s="38"/>
      <c r="W215" s="38"/>
      <c r="X215" s="53"/>
      <c r="Y215" s="42"/>
      <c r="Z215" s="42"/>
      <c r="AA215" s="42"/>
    </row>
    <row r="216" ht="13.75" customHeight="1">
      <c r="A216" s="14" t="s">
        <v>140</v>
      </c>
      <c r="B216" s="50"/>
      <c r="C216" s="43"/>
      <c r="D216" s="43"/>
      <c r="E216" s="44"/>
      <c r="F216" s="44"/>
      <c r="G216" s="44"/>
      <c r="H216" s="45"/>
      <c r="I216" s="54"/>
      <c r="J216" s="47" t="str">
        <f>IF(OR(K216="ERREUR",L216="ERREUR",M216="ERREUR",N216="ERREUR",O216="ERREUR",P216="ERREUR",Q216="ERREUR"),"ERREUR",IF(AND(K216="",L216="",M216="",N216="",O216="",P216="",Q216=""),"ligne vide",IF(OR(K216="",L216="",M216="",N216="",O216="",P216="",Q216=""),"ligne incomplète","Valide")))</f>
        <v xml:space="preserve">ligne vide</v>
      </c>
      <c r="K216" s="48" t="str">
        <f>IF(ISBLANK(B216),IF(ISBLANK(B217),T(B216),"ERREUR"),IF(ISNUMBER(B216),_xlfn.NUMBERVALUE(B216),IF(ISTEXT(B216),VALUE(B216),"ERREUR")))</f>
        <v/>
      </c>
      <c r="L216" s="38" t="str">
        <f>IF(COUNTIF($R$4:$R$6,C216)&gt;0,C216,IF(ISBLANK(C216),IF(ISBLANK(D216),T(C216),"ERREUR"),"ERREUR"))</f>
        <v/>
      </c>
      <c r="M216" s="49" t="str">
        <f>IF(ISBLANK(D216),IF(ISBLANK(D217),T(D216),"ERREUR"),IF(COUNTIF($T$4:$T$240,SUBSTITUTE(SUBSTITUTE(SUBSTITUTE(SUBSTITUTE(SUBSTITUTE(SUBSTITUTE(UPPER(D216),"Å","A"),"É","E"),"È","E"),"Ê","E"),"Î","I"),"Ï","I"))&gt;0,D216,IF(ISBLANK(D216),T(D216),"ERREUR")))</f>
        <v/>
      </c>
      <c r="N216" s="38" t="str">
        <f>IF(COUNTIF($V$4:$V$6,E216)&gt;0,E216,IF(ISBLANK(E216),IF(ISBLANK(E217),T(E216),"ERREUR"),"ERREUR"))</f>
        <v/>
      </c>
      <c r="O216" s="38" t="str">
        <f>IF(COUNTIF($W$4:$W$5,F216)&gt;0,F216,IF(ISBLANK(F216),IF(ISBLANK(F217),T(F216),"ERREUR"),"ERREUR"))</f>
        <v/>
      </c>
      <c r="P216" s="38" t="str">
        <f>IF(COUNTIF($X$4:$X$8,G216)&gt;0,G216,IF(ISBLANK(G216),IF(ISBLANK(G217),T(G216),"ERREUR"),"ERREUR"))</f>
        <v/>
      </c>
      <c r="Q216" s="38" t="str">
        <f>IF(ISNUMBER(H216),IF(INT(H216)=H216,H216,"ERREUR"),IF(ISBLANK(H216),IF(ISBLANK(H217),T(H216),"ERREUR"),"ERREUR"))</f>
        <v/>
      </c>
      <c r="R216" s="38"/>
      <c r="S216" s="1" t="s">
        <v>473</v>
      </c>
      <c r="T216" s="39" t="s">
        <v>474</v>
      </c>
      <c r="U216" s="38" t="str">
        <f>SUBSTITUTE(SUBSTITUTE(SUBSTITUTE(SUBSTITUTE(SUBSTITUTE(SUBSTITUTE(SUBSTITUTE(SUBSTITUTE(UPPER(S216),"Å","A"),"É","E"),"È","E"),"Ê","E"),"Ë","E"),"Î","I"),"Ï","I"),"Ô","O")</f>
        <v xml:space="preserve">SYRIENNE, REPUBLIQUE ARABE</v>
      </c>
      <c r="V216" s="38"/>
      <c r="W216" s="38"/>
      <c r="X216" s="53"/>
      <c r="Y216" s="42"/>
      <c r="Z216" s="42"/>
      <c r="AA216" s="42"/>
    </row>
    <row r="217" ht="13.75" customHeight="1">
      <c r="A217" s="14" t="s">
        <v>140</v>
      </c>
      <c r="B217" s="50"/>
      <c r="C217" s="43"/>
      <c r="D217" s="43"/>
      <c r="E217" s="44"/>
      <c r="F217" s="44"/>
      <c r="G217" s="44"/>
      <c r="H217" s="45"/>
      <c r="I217" s="54"/>
      <c r="J217" s="47" t="str">
        <f>IF(OR(K217="ERREUR",L217="ERREUR",M217="ERREUR",N217="ERREUR",O217="ERREUR",P217="ERREUR",Q217="ERREUR"),"ERREUR",IF(AND(K217="",L217="",M217="",N217="",O217="",P217="",Q217=""),"ligne vide",IF(OR(K217="",L217="",M217="",N217="",O217="",P217="",Q217=""),"ligne incomplète","Valide")))</f>
        <v xml:space="preserve">ligne vide</v>
      </c>
      <c r="K217" s="48" t="str">
        <f>IF(ISBLANK(B217),IF(ISBLANK(B218),T(B217),"ERREUR"),IF(ISNUMBER(B217),_xlfn.NUMBERVALUE(B217),IF(ISTEXT(B217),VALUE(B217),"ERREUR")))</f>
        <v/>
      </c>
      <c r="L217" s="38" t="str">
        <f>IF(COUNTIF($R$4:$R$6,C217)&gt;0,C217,IF(ISBLANK(C217),IF(ISBLANK(D217),T(C217),"ERREUR"),"ERREUR"))</f>
        <v/>
      </c>
      <c r="M217" s="49" t="str">
        <f>IF(ISBLANK(D217),IF(ISBLANK(D218),T(D217),"ERREUR"),IF(COUNTIF($T$4:$T$240,SUBSTITUTE(SUBSTITUTE(SUBSTITUTE(SUBSTITUTE(SUBSTITUTE(SUBSTITUTE(UPPER(D217),"Å","A"),"É","E"),"È","E"),"Ê","E"),"Î","I"),"Ï","I"))&gt;0,D217,IF(ISBLANK(D217),T(D217),"ERREUR")))</f>
        <v/>
      </c>
      <c r="N217" s="38" t="str">
        <f>IF(COUNTIF($V$4:$V$6,E217)&gt;0,E217,IF(ISBLANK(E217),IF(ISBLANK(E218),T(E217),"ERREUR"),"ERREUR"))</f>
        <v/>
      </c>
      <c r="O217" s="38" t="str">
        <f>IF(COUNTIF($W$4:$W$5,F217)&gt;0,F217,IF(ISBLANK(F217),IF(ISBLANK(F218),T(F217),"ERREUR"),"ERREUR"))</f>
        <v/>
      </c>
      <c r="P217" s="38" t="str">
        <f>IF(COUNTIF($X$4:$X$8,G217)&gt;0,G217,IF(ISBLANK(G217),IF(ISBLANK(G218),T(G217),"ERREUR"),"ERREUR"))</f>
        <v/>
      </c>
      <c r="Q217" s="38" t="str">
        <f>IF(ISNUMBER(H217),IF(INT(H217)=H217,H217,"ERREUR"),IF(ISBLANK(H217),IF(ISBLANK(H218),T(H217),"ERREUR"),"ERREUR"))</f>
        <v/>
      </c>
      <c r="R217" s="38"/>
      <c r="S217" s="1" t="s">
        <v>475</v>
      </c>
      <c r="T217" s="39" t="s">
        <v>476</v>
      </c>
      <c r="U217" s="38" t="str">
        <f>SUBSTITUTE(SUBSTITUTE(SUBSTITUTE(SUBSTITUTE(SUBSTITUTE(SUBSTITUTE(SUBSTITUTE(SUBSTITUTE(UPPER(S217),"Å","A"),"É","E"),"È","E"),"Ê","E"),"Ë","E"),"Î","I"),"Ï","I"),"Ô","O")</f>
        <v>TADJIKISTAN</v>
      </c>
      <c r="V217" s="38"/>
      <c r="W217" s="38"/>
      <c r="X217" s="53"/>
      <c r="Y217" s="42"/>
      <c r="Z217" s="42"/>
      <c r="AA217" s="42"/>
    </row>
    <row r="218" ht="13.75" customHeight="1">
      <c r="A218" s="14" t="s">
        <v>140</v>
      </c>
      <c r="B218" s="50"/>
      <c r="C218" s="43"/>
      <c r="D218" s="43"/>
      <c r="E218" s="44"/>
      <c r="F218" s="44"/>
      <c r="G218" s="44"/>
      <c r="H218" s="45"/>
      <c r="I218" s="54"/>
      <c r="J218" s="47" t="str">
        <f>IF(OR(K218="ERREUR",L218="ERREUR",M218="ERREUR",N218="ERREUR",O218="ERREUR",P218="ERREUR",Q218="ERREUR"),"ERREUR",IF(AND(K218="",L218="",M218="",N218="",O218="",P218="",Q218=""),"ligne vide",IF(OR(K218="",L218="",M218="",N218="",O218="",P218="",Q218=""),"ligne incomplète","Valide")))</f>
        <v xml:space="preserve">ligne vide</v>
      </c>
      <c r="K218" s="48" t="str">
        <f>IF(ISBLANK(B218),IF(ISBLANK(B219),T(B218),"ERREUR"),IF(ISNUMBER(B218),_xlfn.NUMBERVALUE(B218),IF(ISTEXT(B218),VALUE(B218),"ERREUR")))</f>
        <v/>
      </c>
      <c r="L218" s="38" t="str">
        <f>IF(COUNTIF($R$4:$R$6,C218)&gt;0,C218,IF(ISBLANK(C218),IF(ISBLANK(D218),T(C218),"ERREUR"),"ERREUR"))</f>
        <v/>
      </c>
      <c r="M218" s="49" t="str">
        <f>IF(ISBLANK(D218),IF(ISBLANK(D219),T(D218),"ERREUR"),IF(COUNTIF($T$4:$T$240,SUBSTITUTE(SUBSTITUTE(SUBSTITUTE(SUBSTITUTE(SUBSTITUTE(SUBSTITUTE(UPPER(D218),"Å","A"),"É","E"),"È","E"),"Ê","E"),"Î","I"),"Ï","I"))&gt;0,D218,IF(ISBLANK(D218),T(D218),"ERREUR")))</f>
        <v/>
      </c>
      <c r="N218" s="38" t="str">
        <f>IF(COUNTIF($V$4:$V$6,E218)&gt;0,E218,IF(ISBLANK(E218),IF(ISBLANK(E219),T(E218),"ERREUR"),"ERREUR"))</f>
        <v/>
      </c>
      <c r="O218" s="38" t="str">
        <f>IF(COUNTIF($W$4:$W$5,F218)&gt;0,F218,IF(ISBLANK(F218),IF(ISBLANK(F219),T(F218),"ERREUR"),"ERREUR"))</f>
        <v/>
      </c>
      <c r="P218" s="38" t="str">
        <f>IF(COUNTIF($X$4:$X$8,G218)&gt;0,G218,IF(ISBLANK(G218),IF(ISBLANK(G219),T(G218),"ERREUR"),"ERREUR"))</f>
        <v/>
      </c>
      <c r="Q218" s="38" t="str">
        <f>IF(ISNUMBER(H218),IF(INT(H218)=H218,H218,"ERREUR"),IF(ISBLANK(H218),IF(ISBLANK(H219),T(H218),"ERREUR"),"ERREUR"))</f>
        <v/>
      </c>
      <c r="R218" s="38"/>
      <c r="S218" s="1" t="s">
        <v>477</v>
      </c>
      <c r="T218" s="39" t="s">
        <v>478</v>
      </c>
      <c r="U218" s="38" t="str">
        <f>SUBSTITUTE(SUBSTITUTE(SUBSTITUTE(SUBSTITUTE(SUBSTITUTE(SUBSTITUTE(SUBSTITUTE(SUBSTITUTE(UPPER(S218),"Å","A"),"É","E"),"È","E"),"Ê","E"),"Ë","E"),"Î","I"),"Ï","I"),"Ô","O")</f>
        <v>TAIWAN</v>
      </c>
      <c r="V218" s="38"/>
      <c r="W218" s="38"/>
      <c r="X218" s="53"/>
      <c r="Y218" s="42"/>
      <c r="Z218" s="42"/>
      <c r="AA218" s="42"/>
    </row>
    <row r="219" ht="13.75" customHeight="1">
      <c r="A219" s="14" t="s">
        <v>140</v>
      </c>
      <c r="B219" s="50"/>
      <c r="C219" s="43"/>
      <c r="D219" s="43"/>
      <c r="E219" s="44"/>
      <c r="F219" s="44"/>
      <c r="G219" s="44"/>
      <c r="H219" s="45"/>
      <c r="I219" s="54"/>
      <c r="J219" s="47" t="str">
        <f>IF(OR(K219="ERREUR",L219="ERREUR",M219="ERREUR",N219="ERREUR",O219="ERREUR",P219="ERREUR",Q219="ERREUR"),"ERREUR",IF(AND(K219="",L219="",M219="",N219="",O219="",P219="",Q219=""),"ligne vide",IF(OR(K219="",L219="",M219="",N219="",O219="",P219="",Q219=""),"ligne incomplète","Valide")))</f>
        <v xml:space="preserve">ligne vide</v>
      </c>
      <c r="K219" s="48" t="str">
        <f>IF(ISBLANK(B219),IF(ISBLANK(B220),T(B219),"ERREUR"),IF(ISNUMBER(B219),_xlfn.NUMBERVALUE(B219),IF(ISTEXT(B219),VALUE(B219),"ERREUR")))</f>
        <v/>
      </c>
      <c r="L219" s="38" t="str">
        <f>IF(COUNTIF($R$4:$R$6,C219)&gt;0,C219,IF(ISBLANK(C219),IF(ISBLANK(D219),T(C219),"ERREUR"),"ERREUR"))</f>
        <v/>
      </c>
      <c r="M219" s="49" t="str">
        <f>IF(ISBLANK(D219),IF(ISBLANK(D220),T(D219),"ERREUR"),IF(COUNTIF($T$4:$T$240,SUBSTITUTE(SUBSTITUTE(SUBSTITUTE(SUBSTITUTE(SUBSTITUTE(SUBSTITUTE(UPPER(D219),"Å","A"),"É","E"),"È","E"),"Ê","E"),"Î","I"),"Ï","I"))&gt;0,D219,IF(ISBLANK(D219),T(D219),"ERREUR")))</f>
        <v/>
      </c>
      <c r="N219" s="38" t="str">
        <f>IF(COUNTIF($V$4:$V$6,E219)&gt;0,E219,IF(ISBLANK(E219),IF(ISBLANK(E220),T(E219),"ERREUR"),"ERREUR"))</f>
        <v/>
      </c>
      <c r="O219" s="38" t="str">
        <f>IF(COUNTIF($W$4:$W$5,F219)&gt;0,F219,IF(ISBLANK(F219),IF(ISBLANK(F220),T(F219),"ERREUR"),"ERREUR"))</f>
        <v/>
      </c>
      <c r="P219" s="38" t="str">
        <f>IF(COUNTIF($X$4:$X$8,G219)&gt;0,G219,IF(ISBLANK(G219),IF(ISBLANK(G220),T(G219),"ERREUR"),"ERREUR"))</f>
        <v/>
      </c>
      <c r="Q219" s="38" t="str">
        <f>IF(ISNUMBER(H219),IF(INT(H219)=H219,H219,"ERREUR"),IF(ISBLANK(H219),IF(ISBLANK(H220),T(H219),"ERREUR"),"ERREUR"))</f>
        <v/>
      </c>
      <c r="R219" s="38"/>
      <c r="S219" s="1" t="s">
        <v>479</v>
      </c>
      <c r="T219" s="39" t="s">
        <v>480</v>
      </c>
      <c r="U219" s="38" t="str">
        <f>SUBSTITUTE(SUBSTITUTE(SUBSTITUTE(SUBSTITUTE(SUBSTITUTE(SUBSTITUTE(SUBSTITUTE(SUBSTITUTE(UPPER(S219),"Å","A"),"É","E"),"È","E"),"Ê","E"),"Ë","E"),"Î","I"),"Ï","I"),"Ô","O")</f>
        <v>TANZANIE</v>
      </c>
      <c r="V219" s="38"/>
      <c r="W219" s="38"/>
      <c r="X219" s="53"/>
      <c r="Y219" s="42"/>
      <c r="Z219" s="42"/>
      <c r="AA219" s="42"/>
    </row>
    <row r="220" ht="13.75" customHeight="1">
      <c r="A220" s="14" t="s">
        <v>140</v>
      </c>
      <c r="B220" s="50"/>
      <c r="C220" s="43"/>
      <c r="D220" s="43"/>
      <c r="E220" s="44"/>
      <c r="F220" s="44"/>
      <c r="G220" s="44"/>
      <c r="H220" s="45"/>
      <c r="I220" s="54"/>
      <c r="J220" s="47" t="str">
        <f>IF(OR(K220="ERREUR",L220="ERREUR",M220="ERREUR",N220="ERREUR",O220="ERREUR",P220="ERREUR",Q220="ERREUR"),"ERREUR",IF(AND(K220="",L220="",M220="",N220="",O220="",P220="",Q220=""),"ligne vide",IF(OR(K220="",L220="",M220="",N220="",O220="",P220="",Q220=""),"ligne incomplète","Valide")))</f>
        <v xml:space="preserve">ligne vide</v>
      </c>
      <c r="K220" s="48" t="str">
        <f>IF(ISBLANK(B220),IF(ISBLANK(B221),T(B220),"ERREUR"),IF(ISNUMBER(B220),_xlfn.NUMBERVALUE(B220),IF(ISTEXT(B220),VALUE(B220),"ERREUR")))</f>
        <v/>
      </c>
      <c r="L220" s="38" t="str">
        <f>IF(COUNTIF($R$4:$R$6,C220)&gt;0,C220,IF(ISBLANK(C220),IF(ISBLANK(D220),T(C220),"ERREUR"),"ERREUR"))</f>
        <v/>
      </c>
      <c r="M220" s="49" t="str">
        <f>IF(ISBLANK(D220),IF(ISBLANK(D221),T(D220),"ERREUR"),IF(COUNTIF($T$4:$T$240,SUBSTITUTE(SUBSTITUTE(SUBSTITUTE(SUBSTITUTE(SUBSTITUTE(SUBSTITUTE(UPPER(D220),"Å","A"),"É","E"),"È","E"),"Ê","E"),"Î","I"),"Ï","I"))&gt;0,D220,IF(ISBLANK(D220),T(D220),"ERREUR")))</f>
        <v/>
      </c>
      <c r="N220" s="38" t="str">
        <f>IF(COUNTIF($V$4:$V$6,E220)&gt;0,E220,IF(ISBLANK(E220),IF(ISBLANK(E221),T(E220),"ERREUR"),"ERREUR"))</f>
        <v/>
      </c>
      <c r="O220" s="38" t="str">
        <f>IF(COUNTIF($W$4:$W$5,F220)&gt;0,F220,IF(ISBLANK(F220),IF(ISBLANK(F221),T(F220),"ERREUR"),"ERREUR"))</f>
        <v/>
      </c>
      <c r="P220" s="38" t="str">
        <f>IF(COUNTIF($X$4:$X$8,G220)&gt;0,G220,IF(ISBLANK(G220),IF(ISBLANK(G221),T(G220),"ERREUR"),"ERREUR"))</f>
        <v/>
      </c>
      <c r="Q220" s="38" t="str">
        <f>IF(ISNUMBER(H220),IF(INT(H220)=H220,H220,"ERREUR"),IF(ISBLANK(H220),IF(ISBLANK(H221),T(H220),"ERREUR"),"ERREUR"))</f>
        <v/>
      </c>
      <c r="R220" s="38"/>
      <c r="S220" s="1" t="s">
        <v>481</v>
      </c>
      <c r="T220" s="38" t="s">
        <v>482</v>
      </c>
      <c r="U220" s="38" t="str">
        <f>SUBSTITUTE(SUBSTITUTE(SUBSTITUTE(SUBSTITUTE(SUBSTITUTE(SUBSTITUTE(SUBSTITUTE(SUBSTITUTE(UPPER(S220),"Å","A"),"É","E"),"È","E"),"Ê","E"),"Ë","E"),"Î","I"),"Ï","I"),"Ô","O")</f>
        <v>TCHAD</v>
      </c>
      <c r="V220" s="38"/>
      <c r="W220" s="38"/>
      <c r="X220" s="53"/>
      <c r="Y220" s="42"/>
      <c r="Z220" s="42"/>
      <c r="AA220" s="42"/>
    </row>
    <row r="221" ht="13.75" customHeight="1">
      <c r="A221" s="14" t="s">
        <v>140</v>
      </c>
      <c r="B221" s="50"/>
      <c r="C221" s="43"/>
      <c r="D221" s="43"/>
      <c r="E221" s="44"/>
      <c r="F221" s="44"/>
      <c r="G221" s="44"/>
      <c r="H221" s="45"/>
      <c r="I221" s="54"/>
      <c r="J221" s="47" t="str">
        <f>IF(OR(K221="ERREUR",L221="ERREUR",M221="ERREUR",N221="ERREUR",O221="ERREUR",P221="ERREUR",Q221="ERREUR"),"ERREUR",IF(AND(K221="",L221="",M221="",N221="",O221="",P221="",Q221=""),"ligne vide",IF(OR(K221="",L221="",M221="",N221="",O221="",P221="",Q221=""),"ligne incomplète","Valide")))</f>
        <v xml:space="preserve">ligne vide</v>
      </c>
      <c r="K221" s="48" t="str">
        <f>IF(ISBLANK(B221),IF(ISBLANK(B222),T(B221),"ERREUR"),IF(ISNUMBER(B221),_xlfn.NUMBERVALUE(B221),IF(ISTEXT(B221),VALUE(B221),"ERREUR")))</f>
        <v/>
      </c>
      <c r="L221" s="38" t="str">
        <f>IF(COUNTIF($R$4:$R$6,C221)&gt;0,C221,IF(ISBLANK(C221),IF(ISBLANK(D221),T(C221),"ERREUR"),"ERREUR"))</f>
        <v/>
      </c>
      <c r="M221" s="49" t="str">
        <f>IF(ISBLANK(D221),IF(ISBLANK(D222),T(D221),"ERREUR"),IF(COUNTIF($T$4:$T$240,SUBSTITUTE(SUBSTITUTE(SUBSTITUTE(SUBSTITUTE(SUBSTITUTE(SUBSTITUTE(UPPER(D221),"Å","A"),"É","E"),"È","E"),"Ê","E"),"Î","I"),"Ï","I"))&gt;0,D221,IF(ISBLANK(D221),T(D221),"ERREUR")))</f>
        <v/>
      </c>
      <c r="N221" s="38" t="str">
        <f>IF(COUNTIF($V$4:$V$6,E221)&gt;0,E221,IF(ISBLANK(E221),IF(ISBLANK(E222),T(E221),"ERREUR"),"ERREUR"))</f>
        <v/>
      </c>
      <c r="O221" s="38" t="str">
        <f>IF(COUNTIF($W$4:$W$5,F221)&gt;0,F221,IF(ISBLANK(F221),IF(ISBLANK(F222),T(F221),"ERREUR"),"ERREUR"))</f>
        <v/>
      </c>
      <c r="P221" s="38" t="str">
        <f>IF(COUNTIF($X$4:$X$8,G221)&gt;0,G221,IF(ISBLANK(G221),IF(ISBLANK(G222),T(G221),"ERREUR"),"ERREUR"))</f>
        <v/>
      </c>
      <c r="Q221" s="38" t="str">
        <f>IF(ISNUMBER(H221),IF(INT(H221)=H221,H221,"ERREUR"),IF(ISBLANK(H221),IF(ISBLANK(H222),T(H221),"ERREUR"),"ERREUR"))</f>
        <v/>
      </c>
      <c r="R221" s="38"/>
      <c r="S221" s="1" t="s">
        <v>483</v>
      </c>
      <c r="T221" s="38" t="s">
        <v>484</v>
      </c>
      <c r="U221" s="38" t="str">
        <f>SUBSTITUTE(SUBSTITUTE(SUBSTITUTE(SUBSTITUTE(SUBSTITUTE(SUBSTITUTE(SUBSTITUTE(SUBSTITUTE(UPPER(S221),"Å","A"),"É","E"),"È","E"),"Ê","E"),"Ë","E"),"Î","I"),"Ï","I"),"Ô","O")</f>
        <v>TCHEQUIE</v>
      </c>
      <c r="V221" s="38"/>
      <c r="W221" s="38"/>
      <c r="X221" s="53"/>
      <c r="Y221" s="42"/>
      <c r="Z221" s="42"/>
      <c r="AA221" s="42"/>
    </row>
    <row r="222" ht="13.75" customHeight="1">
      <c r="A222" s="14" t="s">
        <v>140</v>
      </c>
      <c r="B222" s="50"/>
      <c r="C222" s="43"/>
      <c r="D222" s="43"/>
      <c r="E222" s="44"/>
      <c r="F222" s="44"/>
      <c r="G222" s="44"/>
      <c r="H222" s="45"/>
      <c r="I222" s="54"/>
      <c r="J222" s="47" t="str">
        <f>IF(OR(K222="ERREUR",L222="ERREUR",M222="ERREUR",N222="ERREUR",O222="ERREUR",P222="ERREUR",Q222="ERREUR"),"ERREUR",IF(AND(K222="",L222="",M222="",N222="",O222="",P222="",Q222=""),"ligne vide",IF(OR(K222="",L222="",M222="",N222="",O222="",P222="",Q222=""),"ligne incomplète","Valide")))</f>
        <v xml:space="preserve">ligne vide</v>
      </c>
      <c r="K222" s="48" t="str">
        <f>IF(ISBLANK(B222),IF(ISBLANK(B223),T(B222),"ERREUR"),IF(ISNUMBER(B222),_xlfn.NUMBERVALUE(B222),IF(ISTEXT(B222),VALUE(B222),"ERREUR")))</f>
        <v/>
      </c>
      <c r="L222" s="38" t="str">
        <f>IF(COUNTIF($R$4:$R$6,C222)&gt;0,C222,IF(ISBLANK(C222),IF(ISBLANK(D222),T(C222),"ERREUR"),"ERREUR"))</f>
        <v/>
      </c>
      <c r="M222" s="49" t="str">
        <f>IF(ISBLANK(D222),IF(ISBLANK(D223),T(D222),"ERREUR"),IF(COUNTIF($T$4:$T$240,SUBSTITUTE(SUBSTITUTE(SUBSTITUTE(SUBSTITUTE(SUBSTITUTE(SUBSTITUTE(UPPER(D222),"Å","A"),"É","E"),"È","E"),"Ê","E"),"Î","I"),"Ï","I"))&gt;0,D222,IF(ISBLANK(D222),T(D222),"ERREUR")))</f>
        <v/>
      </c>
      <c r="N222" s="38" t="str">
        <f>IF(COUNTIF($V$4:$V$6,E222)&gt;0,E222,IF(ISBLANK(E222),IF(ISBLANK(E223),T(E222),"ERREUR"),"ERREUR"))</f>
        <v/>
      </c>
      <c r="O222" s="38" t="str">
        <f>IF(COUNTIF($W$4:$W$5,F222)&gt;0,F222,IF(ISBLANK(F222),IF(ISBLANK(F223),T(F222),"ERREUR"),"ERREUR"))</f>
        <v/>
      </c>
      <c r="P222" s="38" t="str">
        <f>IF(COUNTIF($X$4:$X$8,G222)&gt;0,G222,IF(ISBLANK(G222),IF(ISBLANK(G223),T(G222),"ERREUR"),"ERREUR"))</f>
        <v/>
      </c>
      <c r="Q222" s="38" t="str">
        <f>IF(ISNUMBER(H222),IF(INT(H222)=H222,H222,"ERREUR"),IF(ISBLANK(H222),IF(ISBLANK(H223),T(H222),"ERREUR"),"ERREUR"))</f>
        <v/>
      </c>
      <c r="R222" s="38"/>
      <c r="S222" s="1" t="s">
        <v>485</v>
      </c>
      <c r="T222" s="38" t="s">
        <v>486</v>
      </c>
      <c r="U222" s="38" t="str">
        <f>SUBSTITUTE(SUBSTITUTE(SUBSTITUTE(SUBSTITUTE(SUBSTITUTE(SUBSTITUTE(SUBSTITUTE(SUBSTITUTE(UPPER(S222),"Å","A"),"É","E"),"È","E"),"Ê","E"),"Ë","E"),"Î","I"),"Ï","I"),"Ô","O")</f>
        <v xml:space="preserve">TERRITOIRE BRITANNIQUE DE L'OCEAN INDIEN</v>
      </c>
      <c r="V222" s="38"/>
      <c r="W222" s="38"/>
      <c r="X222" s="53"/>
      <c r="Y222" s="42"/>
      <c r="Z222" s="42"/>
      <c r="AA222" s="42"/>
    </row>
    <row r="223" ht="13.75" customHeight="1">
      <c r="A223" s="14" t="s">
        <v>140</v>
      </c>
      <c r="B223" s="50"/>
      <c r="C223" s="43"/>
      <c r="D223" s="43"/>
      <c r="E223" s="44"/>
      <c r="F223" s="44"/>
      <c r="G223" s="44"/>
      <c r="H223" s="45"/>
      <c r="I223" s="54"/>
      <c r="J223" s="47" t="str">
        <f>IF(OR(K223="ERREUR",L223="ERREUR",M223="ERREUR",N223="ERREUR",O223="ERREUR",P223="ERREUR",Q223="ERREUR"),"ERREUR",IF(AND(K223="",L223="",M223="",N223="",O223="",P223="",Q223=""),"ligne vide",IF(OR(K223="",L223="",M223="",N223="",O223="",P223="",Q223=""),"ligne incomplète","Valide")))</f>
        <v xml:space="preserve">ligne vide</v>
      </c>
      <c r="K223" s="48" t="str">
        <f>IF(ISBLANK(B223),IF(ISBLANK(B224),T(B223),"ERREUR"),IF(ISNUMBER(B223),_xlfn.NUMBERVALUE(B223),IF(ISTEXT(B223),VALUE(B223),"ERREUR")))</f>
        <v/>
      </c>
      <c r="L223" s="38" t="str">
        <f>IF(COUNTIF($R$4:$R$6,C223)&gt;0,C223,IF(ISBLANK(C223),IF(ISBLANK(D223),T(C223),"ERREUR"),"ERREUR"))</f>
        <v/>
      </c>
      <c r="M223" s="49" t="str">
        <f>IF(ISBLANK(D223),IF(ISBLANK(D224),T(D223),"ERREUR"),IF(COUNTIF($T$4:$T$240,SUBSTITUTE(SUBSTITUTE(SUBSTITUTE(SUBSTITUTE(SUBSTITUTE(SUBSTITUTE(UPPER(D223),"Å","A"),"É","E"),"È","E"),"Ê","E"),"Î","I"),"Ï","I"))&gt;0,D223,IF(ISBLANK(D223),T(D223),"ERREUR")))</f>
        <v/>
      </c>
      <c r="N223" s="38" t="str">
        <f>IF(COUNTIF($V$4:$V$6,E223)&gt;0,E223,IF(ISBLANK(E223),IF(ISBLANK(E224),T(E223),"ERREUR"),"ERREUR"))</f>
        <v/>
      </c>
      <c r="O223" s="38" t="str">
        <f>IF(COUNTIF($W$4:$W$5,F223)&gt;0,F223,IF(ISBLANK(F223),IF(ISBLANK(F224),T(F223),"ERREUR"),"ERREUR"))</f>
        <v/>
      </c>
      <c r="P223" s="38" t="str">
        <f>IF(COUNTIF($X$4:$X$8,G223)&gt;0,G223,IF(ISBLANK(G223),IF(ISBLANK(G224),T(G223),"ERREUR"),"ERREUR"))</f>
        <v/>
      </c>
      <c r="Q223" s="38" t="str">
        <f>IF(ISNUMBER(H223),IF(INT(H223)=H223,H223,"ERREUR"),IF(ISBLANK(H223),IF(ISBLANK(H224),T(H223),"ERREUR"),"ERREUR"))</f>
        <v/>
      </c>
      <c r="R223" s="38"/>
      <c r="S223" s="1" t="s">
        <v>487</v>
      </c>
      <c r="T223" s="38" t="s">
        <v>488</v>
      </c>
      <c r="U223" s="38" t="str">
        <f>SUBSTITUTE(SUBSTITUTE(SUBSTITUTE(SUBSTITUTE(SUBSTITUTE(SUBSTITUTE(SUBSTITUTE(SUBSTITUTE(UPPER(S223),"Å","A"),"É","E"),"È","E"),"Ê","E"),"Ë","E"),"Î","I"),"Ï","I"),"Ô","O")</f>
        <v>THAILANDE</v>
      </c>
      <c r="V223" s="38"/>
      <c r="W223" s="38"/>
      <c r="X223" s="53"/>
      <c r="Y223" s="42"/>
      <c r="Z223" s="42"/>
      <c r="AA223" s="42"/>
    </row>
    <row r="224" ht="13.75" customHeight="1">
      <c r="A224" s="14" t="s">
        <v>140</v>
      </c>
      <c r="B224" s="50"/>
      <c r="C224" s="43"/>
      <c r="D224" s="43"/>
      <c r="E224" s="44"/>
      <c r="F224" s="44"/>
      <c r="G224" s="44"/>
      <c r="H224" s="45"/>
      <c r="I224" s="54"/>
      <c r="J224" s="47" t="str">
        <f>IF(OR(K224="ERREUR",L224="ERREUR",M224="ERREUR",N224="ERREUR",O224="ERREUR",P224="ERREUR",Q224="ERREUR"),"ERREUR",IF(AND(K224="",L224="",M224="",N224="",O224="",P224="",Q224=""),"ligne vide",IF(OR(K224="",L224="",M224="",N224="",O224="",P224="",Q224=""),"ligne incomplète","Valide")))</f>
        <v xml:space="preserve">ligne vide</v>
      </c>
      <c r="K224" s="48" t="str">
        <f>IF(ISBLANK(B224),IF(ISBLANK(B225),T(B224),"ERREUR"),IF(ISNUMBER(B224),_xlfn.NUMBERVALUE(B224),IF(ISTEXT(B224),VALUE(B224),"ERREUR")))</f>
        <v/>
      </c>
      <c r="L224" s="38" t="str">
        <f>IF(COUNTIF($R$4:$R$6,C224)&gt;0,C224,IF(ISBLANK(C224),IF(ISBLANK(D224),T(C224),"ERREUR"),"ERREUR"))</f>
        <v/>
      </c>
      <c r="M224" s="49" t="str">
        <f>IF(ISBLANK(D224),IF(ISBLANK(D225),T(D224),"ERREUR"),IF(COUNTIF($T$4:$T$240,SUBSTITUTE(SUBSTITUTE(SUBSTITUTE(SUBSTITUTE(SUBSTITUTE(SUBSTITUTE(UPPER(D224),"Å","A"),"É","E"),"È","E"),"Ê","E"),"Î","I"),"Ï","I"))&gt;0,D224,IF(ISBLANK(D224),T(D224),"ERREUR")))</f>
        <v/>
      </c>
      <c r="N224" s="38" t="str">
        <f>IF(COUNTIF($V$4:$V$6,E224)&gt;0,E224,IF(ISBLANK(E224),IF(ISBLANK(E225),T(E224),"ERREUR"),"ERREUR"))</f>
        <v/>
      </c>
      <c r="O224" s="38" t="str">
        <f>IF(COUNTIF($W$4:$W$5,F224)&gt;0,F224,IF(ISBLANK(F224),IF(ISBLANK(F225),T(F224),"ERREUR"),"ERREUR"))</f>
        <v/>
      </c>
      <c r="P224" s="38" t="str">
        <f>IF(COUNTIF($X$4:$X$8,G224)&gt;0,G224,IF(ISBLANK(G224),IF(ISBLANK(G225),T(G224),"ERREUR"),"ERREUR"))</f>
        <v/>
      </c>
      <c r="Q224" s="38" t="str">
        <f>IF(ISNUMBER(H224),IF(INT(H224)=H224,H224,"ERREUR"),IF(ISBLANK(H224),IF(ISBLANK(H225),T(H224),"ERREUR"),"ERREUR"))</f>
        <v/>
      </c>
      <c r="R224" s="38"/>
      <c r="S224" s="1" t="s">
        <v>489</v>
      </c>
      <c r="T224" s="38" t="s">
        <v>490</v>
      </c>
      <c r="U224" s="38" t="str">
        <f>SUBSTITUTE(SUBSTITUTE(SUBSTITUTE(SUBSTITUTE(SUBSTITUTE(SUBSTITUTE(SUBSTITUTE(SUBSTITUTE(UPPER(S224),"Å","A"),"É","E"),"È","E"),"Ê","E"),"Ë","E"),"Î","I"),"Ï","I"),"Ô","O")</f>
        <v xml:space="preserve">TIMOR ORIENTAL</v>
      </c>
      <c r="V224" s="38"/>
      <c r="W224" s="38"/>
      <c r="X224" s="53"/>
      <c r="Y224" s="42"/>
      <c r="Z224" s="42"/>
      <c r="AA224" s="42"/>
    </row>
    <row r="225" ht="13.75" customHeight="1">
      <c r="A225" s="14" t="s">
        <v>140</v>
      </c>
      <c r="B225" s="50"/>
      <c r="C225" s="43"/>
      <c r="D225" s="43"/>
      <c r="E225" s="44"/>
      <c r="F225" s="44"/>
      <c r="G225" s="44"/>
      <c r="H225" s="45"/>
      <c r="I225" s="54"/>
      <c r="J225" s="47" t="str">
        <f>IF(OR(K225="ERREUR",L225="ERREUR",M225="ERREUR",N225="ERREUR",O225="ERREUR",P225="ERREUR",Q225="ERREUR"),"ERREUR",IF(AND(K225="",L225="",M225="",N225="",O225="",P225="",Q225=""),"ligne vide",IF(OR(K225="",L225="",M225="",N225="",O225="",P225="",Q225=""),"ligne incomplète","Valide")))</f>
        <v xml:space="preserve">ligne vide</v>
      </c>
      <c r="K225" s="48" t="str">
        <f>IF(ISBLANK(B225),IF(ISBLANK(B226),T(B225),"ERREUR"),IF(ISNUMBER(B225),_xlfn.NUMBERVALUE(B225),IF(ISTEXT(B225),VALUE(B225),"ERREUR")))</f>
        <v/>
      </c>
      <c r="L225" s="38" t="str">
        <f>IF(COUNTIF($R$4:$R$6,C225)&gt;0,C225,IF(ISBLANK(C225),IF(ISBLANK(D225),T(C225),"ERREUR"),"ERREUR"))</f>
        <v/>
      </c>
      <c r="M225" s="49" t="str">
        <f>IF(ISBLANK(D225),IF(ISBLANK(D226),T(D225),"ERREUR"),IF(COUNTIF($T$4:$T$240,SUBSTITUTE(SUBSTITUTE(SUBSTITUTE(SUBSTITUTE(SUBSTITUTE(SUBSTITUTE(UPPER(D225),"Å","A"),"É","E"),"È","E"),"Ê","E"),"Î","I"),"Ï","I"))&gt;0,D225,IF(ISBLANK(D225),T(D225),"ERREUR")))</f>
        <v/>
      </c>
      <c r="N225" s="38" t="str">
        <f>IF(COUNTIF($V$4:$V$6,E225)&gt;0,E225,IF(ISBLANK(E225),IF(ISBLANK(E226),T(E225),"ERREUR"),"ERREUR"))</f>
        <v/>
      </c>
      <c r="O225" s="38" t="str">
        <f>IF(COUNTIF($W$4:$W$5,F225)&gt;0,F225,IF(ISBLANK(F225),IF(ISBLANK(F226),T(F225),"ERREUR"),"ERREUR"))</f>
        <v/>
      </c>
      <c r="P225" s="38" t="str">
        <f>IF(COUNTIF($X$4:$X$8,G225)&gt;0,G225,IF(ISBLANK(G225),IF(ISBLANK(G226),T(G225),"ERREUR"),"ERREUR"))</f>
        <v/>
      </c>
      <c r="Q225" s="38" t="str">
        <f>IF(ISNUMBER(H225),IF(INT(H225)=H225,H225,"ERREUR"),IF(ISBLANK(H225),IF(ISBLANK(H226),T(H225),"ERREUR"),"ERREUR"))</f>
        <v/>
      </c>
      <c r="R225" s="38"/>
      <c r="S225" s="1" t="s">
        <v>491</v>
      </c>
      <c r="T225" s="38" t="s">
        <v>492</v>
      </c>
      <c r="U225" s="38" t="str">
        <f>SUBSTITUTE(SUBSTITUTE(SUBSTITUTE(SUBSTITUTE(SUBSTITUTE(SUBSTITUTE(SUBSTITUTE(SUBSTITUTE(UPPER(S225),"Å","A"),"É","E"),"È","E"),"Ê","E"),"Ë","E"),"Î","I"),"Ï","I"),"Ô","O")</f>
        <v>TOGO</v>
      </c>
      <c r="V225" s="38"/>
      <c r="W225" s="38"/>
      <c r="X225" s="53"/>
      <c r="Y225" s="42"/>
      <c r="Z225" s="42"/>
      <c r="AA225" s="42"/>
    </row>
    <row r="226" ht="13.75" customHeight="1">
      <c r="A226" s="14" t="s">
        <v>140</v>
      </c>
      <c r="B226" s="50"/>
      <c r="C226" s="43"/>
      <c r="D226" s="43"/>
      <c r="E226" s="44"/>
      <c r="F226" s="44"/>
      <c r="G226" s="44"/>
      <c r="H226" s="45"/>
      <c r="I226" s="54"/>
      <c r="J226" s="47" t="str">
        <f>IF(OR(K226="ERREUR",L226="ERREUR",M226="ERREUR",N226="ERREUR",O226="ERREUR",P226="ERREUR",Q226="ERREUR"),"ERREUR",IF(AND(K226="",L226="",M226="",N226="",O226="",P226="",Q226=""),"ligne vide",IF(OR(K226="",L226="",M226="",N226="",O226="",P226="",Q226=""),"ligne incomplète","Valide")))</f>
        <v xml:space="preserve">ligne vide</v>
      </c>
      <c r="K226" s="48" t="str">
        <f>IF(ISBLANK(B226),IF(ISBLANK(B227),T(B226),"ERREUR"),IF(ISNUMBER(B226),_xlfn.NUMBERVALUE(B226),IF(ISTEXT(B226),VALUE(B226),"ERREUR")))</f>
        <v/>
      </c>
      <c r="L226" s="38" t="str">
        <f>IF(COUNTIF($R$4:$R$6,C226)&gt;0,C226,IF(ISBLANK(C226),IF(ISBLANK(D226),T(C226),"ERREUR"),"ERREUR"))</f>
        <v/>
      </c>
      <c r="M226" s="49" t="str">
        <f>IF(ISBLANK(D226),IF(ISBLANK(D227),T(D226),"ERREUR"),IF(COUNTIF($T$4:$T$240,SUBSTITUTE(SUBSTITUTE(SUBSTITUTE(SUBSTITUTE(SUBSTITUTE(SUBSTITUTE(UPPER(D226),"Å","A"),"É","E"),"È","E"),"Ê","E"),"Î","I"),"Ï","I"))&gt;0,D226,IF(ISBLANK(D226),T(D226),"ERREUR")))</f>
        <v/>
      </c>
      <c r="N226" s="38" t="str">
        <f>IF(COUNTIF($V$4:$V$6,E226)&gt;0,E226,IF(ISBLANK(E226),IF(ISBLANK(E227),T(E226),"ERREUR"),"ERREUR"))</f>
        <v/>
      </c>
      <c r="O226" s="38" t="str">
        <f>IF(COUNTIF($W$4:$W$5,F226)&gt;0,F226,IF(ISBLANK(F226),IF(ISBLANK(F227),T(F226),"ERREUR"),"ERREUR"))</f>
        <v/>
      </c>
      <c r="P226" s="38" t="str">
        <f>IF(COUNTIF($X$4:$X$8,G226)&gt;0,G226,IF(ISBLANK(G226),IF(ISBLANK(G227),T(G226),"ERREUR"),"ERREUR"))</f>
        <v/>
      </c>
      <c r="Q226" s="38" t="str">
        <f>IF(ISNUMBER(H226),IF(INT(H226)=H226,H226,"ERREUR"),IF(ISBLANK(H226),IF(ISBLANK(H227),T(H226),"ERREUR"),"ERREUR"))</f>
        <v/>
      </c>
      <c r="R226" s="38"/>
      <c r="S226" s="1" t="s">
        <v>493</v>
      </c>
      <c r="T226" s="38" t="s">
        <v>494</v>
      </c>
      <c r="U226" s="38" t="str">
        <f>SUBSTITUTE(SUBSTITUTE(SUBSTITUTE(SUBSTITUTE(SUBSTITUTE(SUBSTITUTE(SUBSTITUTE(SUBSTITUTE(UPPER(S226),"Å","A"),"É","E"),"È","E"),"Ê","E"),"Ë","E"),"Î","I"),"Ï","I"),"Ô","O")</f>
        <v>TOKELAU</v>
      </c>
      <c r="V226" s="38"/>
      <c r="W226" s="38"/>
      <c r="X226" s="53"/>
      <c r="Y226" s="42"/>
      <c r="Z226" s="42"/>
      <c r="AA226" s="42"/>
    </row>
    <row r="227" ht="13.75" customHeight="1">
      <c r="A227" s="14" t="s">
        <v>140</v>
      </c>
      <c r="B227" s="50"/>
      <c r="C227" s="43"/>
      <c r="D227" s="43"/>
      <c r="E227" s="44"/>
      <c r="F227" s="44"/>
      <c r="G227" s="44"/>
      <c r="H227" s="45"/>
      <c r="I227" s="54"/>
      <c r="J227" s="47" t="str">
        <f>IF(OR(K227="ERREUR",L227="ERREUR",M227="ERREUR",N227="ERREUR",O227="ERREUR",P227="ERREUR",Q227="ERREUR"),"ERREUR",IF(AND(K227="",L227="",M227="",N227="",O227="",P227="",Q227=""),"ligne vide",IF(OR(K227="",L227="",M227="",N227="",O227="",P227="",Q227=""),"ligne incomplète","Valide")))</f>
        <v xml:space="preserve">ligne vide</v>
      </c>
      <c r="K227" s="48" t="str">
        <f>IF(ISBLANK(B227),IF(ISBLANK(B228),T(B227),"ERREUR"),IF(ISNUMBER(B227),_xlfn.NUMBERVALUE(B227),IF(ISTEXT(B227),VALUE(B227),"ERREUR")))</f>
        <v/>
      </c>
      <c r="L227" s="38" t="str">
        <f>IF(COUNTIF($R$4:$R$6,C227)&gt;0,C227,IF(ISBLANK(C227),IF(ISBLANK(D227),T(C227),"ERREUR"),"ERREUR"))</f>
        <v/>
      </c>
      <c r="M227" s="49" t="str">
        <f>IF(ISBLANK(D227),IF(ISBLANK(D228),T(D227),"ERREUR"),IF(COUNTIF($T$4:$T$240,SUBSTITUTE(SUBSTITUTE(SUBSTITUTE(SUBSTITUTE(SUBSTITUTE(SUBSTITUTE(UPPER(D227),"Å","A"),"É","E"),"È","E"),"Ê","E"),"Î","I"),"Ï","I"))&gt;0,D227,IF(ISBLANK(D227),T(D227),"ERREUR")))</f>
        <v/>
      </c>
      <c r="N227" s="38" t="str">
        <f>IF(COUNTIF($V$4:$V$6,E227)&gt;0,E227,IF(ISBLANK(E227),IF(ISBLANK(E228),T(E227),"ERREUR"),"ERREUR"))</f>
        <v/>
      </c>
      <c r="O227" s="38" t="str">
        <f>IF(COUNTIF($W$4:$W$5,F227)&gt;0,F227,IF(ISBLANK(F227),IF(ISBLANK(F228),T(F227),"ERREUR"),"ERREUR"))</f>
        <v/>
      </c>
      <c r="P227" s="38" t="str">
        <f>IF(COUNTIF($X$4:$X$8,G227)&gt;0,G227,IF(ISBLANK(G227),IF(ISBLANK(G228),T(G227),"ERREUR"),"ERREUR"))</f>
        <v/>
      </c>
      <c r="Q227" s="38" t="str">
        <f>IF(ISNUMBER(H227),IF(INT(H227)=H227,H227,"ERREUR"),IF(ISBLANK(H227),IF(ISBLANK(H228),T(H227),"ERREUR"),"ERREUR"))</f>
        <v/>
      </c>
      <c r="R227" s="38"/>
      <c r="S227" s="1" t="s">
        <v>495</v>
      </c>
      <c r="T227" s="38" t="s">
        <v>496</v>
      </c>
      <c r="U227" s="38" t="str">
        <f>SUBSTITUTE(SUBSTITUTE(SUBSTITUTE(SUBSTITUTE(SUBSTITUTE(SUBSTITUTE(SUBSTITUTE(SUBSTITUTE(UPPER(S227),"Å","A"),"É","E"),"È","E"),"Ê","E"),"Ë","E"),"Î","I"),"Ï","I"),"Ô","O")</f>
        <v>TONGA</v>
      </c>
      <c r="V227" s="38"/>
      <c r="W227" s="38"/>
      <c r="X227" s="53"/>
      <c r="Y227" s="42"/>
      <c r="Z227" s="42"/>
      <c r="AA227" s="42"/>
    </row>
    <row r="228" ht="13.75" customHeight="1">
      <c r="A228" s="14" t="s">
        <v>140</v>
      </c>
      <c r="B228" s="50"/>
      <c r="C228" s="43"/>
      <c r="D228" s="43"/>
      <c r="E228" s="44"/>
      <c r="F228" s="44"/>
      <c r="G228" s="44"/>
      <c r="H228" s="45"/>
      <c r="I228" s="54"/>
      <c r="J228" s="47" t="str">
        <f>IF(OR(K228="ERREUR",L228="ERREUR",M228="ERREUR",N228="ERREUR",O228="ERREUR",P228="ERREUR",Q228="ERREUR"),"ERREUR",IF(AND(K228="",L228="",M228="",N228="",O228="",P228="",Q228=""),"ligne vide",IF(OR(K228="",L228="",M228="",N228="",O228="",P228="",Q228=""),"ligne incomplète","Valide")))</f>
        <v xml:space="preserve">ligne vide</v>
      </c>
      <c r="K228" s="48" t="str">
        <f>IF(ISBLANK(B228),IF(ISBLANK(B229),T(B228),"ERREUR"),IF(ISNUMBER(B228),_xlfn.NUMBERVALUE(B228),IF(ISTEXT(B228),VALUE(B228),"ERREUR")))</f>
        <v/>
      </c>
      <c r="L228" s="38" t="str">
        <f>IF(COUNTIF($R$4:$R$6,C228)&gt;0,C228,IF(ISBLANK(C228),IF(ISBLANK(D228),T(C228),"ERREUR"),"ERREUR"))</f>
        <v/>
      </c>
      <c r="M228" s="49" t="str">
        <f>IF(ISBLANK(D228),IF(ISBLANK(D229),T(D228),"ERREUR"),IF(COUNTIF($T$4:$T$240,SUBSTITUTE(SUBSTITUTE(SUBSTITUTE(SUBSTITUTE(SUBSTITUTE(SUBSTITUTE(UPPER(D228),"Å","A"),"É","E"),"È","E"),"Ê","E"),"Î","I"),"Ï","I"))&gt;0,D228,IF(ISBLANK(D228),T(D228),"ERREUR")))</f>
        <v/>
      </c>
      <c r="N228" s="38" t="str">
        <f>IF(COUNTIF($V$4:$V$6,E228)&gt;0,E228,IF(ISBLANK(E228),IF(ISBLANK(E229),T(E228),"ERREUR"),"ERREUR"))</f>
        <v/>
      </c>
      <c r="O228" s="38" t="str">
        <f>IF(COUNTIF($W$4:$W$5,F228)&gt;0,F228,IF(ISBLANK(F228),IF(ISBLANK(F229),T(F228),"ERREUR"),"ERREUR"))</f>
        <v/>
      </c>
      <c r="P228" s="38" t="str">
        <f>IF(COUNTIF($X$4:$X$8,G228)&gt;0,G228,IF(ISBLANK(G228),IF(ISBLANK(G229),T(G228),"ERREUR"),"ERREUR"))</f>
        <v/>
      </c>
      <c r="Q228" s="38" t="str">
        <f>IF(ISNUMBER(H228),IF(INT(H228)=H228,H228,"ERREUR"),IF(ISBLANK(H228),IF(ISBLANK(H229),T(H228),"ERREUR"),"ERREUR"))</f>
        <v/>
      </c>
      <c r="R228" s="38"/>
      <c r="S228" s="1" t="s">
        <v>497</v>
      </c>
      <c r="T228" s="38" t="s">
        <v>498</v>
      </c>
      <c r="U228" s="38" t="str">
        <f>SUBSTITUTE(SUBSTITUTE(SUBSTITUTE(SUBSTITUTE(SUBSTITUTE(SUBSTITUTE(SUBSTITUTE(SUBSTITUTE(UPPER(S228),"Å","A"),"É","E"),"È","E"),"Ê","E"),"Ë","E"),"Î","I"),"Ï","I"),"Ô","O")</f>
        <v>TRINITE-ET-TOBAGO</v>
      </c>
      <c r="V228" s="38"/>
      <c r="W228" s="38"/>
      <c r="X228" s="53"/>
      <c r="Y228" s="42"/>
      <c r="Z228" s="42"/>
      <c r="AA228" s="42"/>
    </row>
    <row r="229" ht="13.75" customHeight="1">
      <c r="A229" s="14" t="s">
        <v>140</v>
      </c>
      <c r="B229" s="50"/>
      <c r="C229" s="43"/>
      <c r="D229" s="43"/>
      <c r="E229" s="44"/>
      <c r="F229" s="44"/>
      <c r="G229" s="44"/>
      <c r="H229" s="45"/>
      <c r="I229" s="54"/>
      <c r="J229" s="47" t="str">
        <f>IF(OR(K229="ERREUR",L229="ERREUR",M229="ERREUR",N229="ERREUR",O229="ERREUR",P229="ERREUR",Q229="ERREUR"),"ERREUR",IF(AND(K229="",L229="",M229="",N229="",O229="",P229="",Q229=""),"ligne vide",IF(OR(K229="",L229="",M229="",N229="",O229="",P229="",Q229=""),"ligne incomplète","Valide")))</f>
        <v xml:space="preserve">ligne vide</v>
      </c>
      <c r="K229" s="48" t="str">
        <f>IF(ISBLANK(B229),IF(ISBLANK(B230),T(B229),"ERREUR"),IF(ISNUMBER(B229),_xlfn.NUMBERVALUE(B229),IF(ISTEXT(B229),VALUE(B229),"ERREUR")))</f>
        <v/>
      </c>
      <c r="L229" s="38" t="str">
        <f>IF(COUNTIF($R$4:$R$6,C229)&gt;0,C229,IF(ISBLANK(C229),IF(ISBLANK(D229),T(C229),"ERREUR"),"ERREUR"))</f>
        <v/>
      </c>
      <c r="M229" s="49" t="str">
        <f>IF(ISBLANK(D229),IF(ISBLANK(D230),T(D229),"ERREUR"),IF(COUNTIF($T$4:$T$240,SUBSTITUTE(SUBSTITUTE(SUBSTITUTE(SUBSTITUTE(SUBSTITUTE(SUBSTITUTE(UPPER(D229),"Å","A"),"É","E"),"È","E"),"Ê","E"),"Î","I"),"Ï","I"))&gt;0,D229,IF(ISBLANK(D229),T(D229),"ERREUR")))</f>
        <v/>
      </c>
      <c r="N229" s="38" t="str">
        <f>IF(COUNTIF($V$4:$V$6,E229)&gt;0,E229,IF(ISBLANK(E229),IF(ISBLANK(E230),T(E229),"ERREUR"),"ERREUR"))</f>
        <v/>
      </c>
      <c r="O229" s="38" t="str">
        <f>IF(COUNTIF($W$4:$W$5,F229)&gt;0,F229,IF(ISBLANK(F229),IF(ISBLANK(F230),T(F229),"ERREUR"),"ERREUR"))</f>
        <v/>
      </c>
      <c r="P229" s="38" t="str">
        <f>IF(COUNTIF($X$4:$X$8,G229)&gt;0,G229,IF(ISBLANK(G229),IF(ISBLANK(G230),T(G229),"ERREUR"),"ERREUR"))</f>
        <v/>
      </c>
      <c r="Q229" s="38" t="str">
        <f>IF(ISNUMBER(H229),IF(INT(H229)=H229,H229,"ERREUR"),IF(ISBLANK(H229),IF(ISBLANK(H230),T(H229),"ERREUR"),"ERREUR"))</f>
        <v/>
      </c>
      <c r="R229" s="38"/>
      <c r="S229" s="1" t="s">
        <v>499</v>
      </c>
      <c r="T229" s="38" t="s">
        <v>500</v>
      </c>
      <c r="U229" s="38" t="str">
        <f>SUBSTITUTE(SUBSTITUTE(SUBSTITUTE(SUBSTITUTE(SUBSTITUTE(SUBSTITUTE(SUBSTITUTE(SUBSTITUTE(UPPER(S229),"Å","A"),"É","E"),"È","E"),"Ê","E"),"Ë","E"),"Î","I"),"Ï","I"),"Ô","O")</f>
        <v>TUNISIE</v>
      </c>
      <c r="V229" s="38"/>
      <c r="W229" s="38"/>
      <c r="X229" s="53"/>
      <c r="Y229" s="42"/>
      <c r="Z229" s="42"/>
      <c r="AA229" s="42"/>
    </row>
    <row r="230" ht="13.75" customHeight="1">
      <c r="A230" s="14" t="s">
        <v>140</v>
      </c>
      <c r="B230" s="50"/>
      <c r="C230" s="43"/>
      <c r="D230" s="43"/>
      <c r="E230" s="44"/>
      <c r="F230" s="44"/>
      <c r="G230" s="44"/>
      <c r="H230" s="45"/>
      <c r="I230" s="54"/>
      <c r="J230" s="47" t="str">
        <f>IF(OR(K230="ERREUR",L230="ERREUR",M230="ERREUR",N230="ERREUR",O230="ERREUR",P230="ERREUR",Q230="ERREUR"),"ERREUR",IF(AND(K230="",L230="",M230="",N230="",O230="",P230="",Q230=""),"ligne vide",IF(OR(K230="",L230="",M230="",N230="",O230="",P230="",Q230=""),"ligne incomplète","Valide")))</f>
        <v xml:space="preserve">ligne vide</v>
      </c>
      <c r="K230" s="48" t="str">
        <f>IF(ISBLANK(B230),IF(ISBLANK(B231),T(B230),"ERREUR"),IF(ISNUMBER(B230),_xlfn.NUMBERVALUE(B230),IF(ISTEXT(B230),VALUE(B230),"ERREUR")))</f>
        <v/>
      </c>
      <c r="L230" s="38" t="str">
        <f>IF(COUNTIF($R$4:$R$6,C230)&gt;0,C230,IF(ISBLANK(C230),IF(ISBLANK(D230),T(C230),"ERREUR"),"ERREUR"))</f>
        <v/>
      </c>
      <c r="M230" s="49" t="str">
        <f>IF(ISBLANK(D230),IF(ISBLANK(D231),T(D230),"ERREUR"),IF(COUNTIF($T$4:$T$240,SUBSTITUTE(SUBSTITUTE(SUBSTITUTE(SUBSTITUTE(SUBSTITUTE(SUBSTITUTE(UPPER(D230),"Å","A"),"É","E"),"È","E"),"Ê","E"),"Î","I"),"Ï","I"))&gt;0,D230,IF(ISBLANK(D230),T(D230),"ERREUR")))</f>
        <v/>
      </c>
      <c r="N230" s="38" t="str">
        <f>IF(COUNTIF($V$4:$V$6,E230)&gt;0,E230,IF(ISBLANK(E230),IF(ISBLANK(E231),T(E230),"ERREUR"),"ERREUR"))</f>
        <v/>
      </c>
      <c r="O230" s="38" t="str">
        <f>IF(COUNTIF($W$4:$W$5,F230)&gt;0,F230,IF(ISBLANK(F230),IF(ISBLANK(F231),T(F230),"ERREUR"),"ERREUR"))</f>
        <v/>
      </c>
      <c r="P230" s="38" t="str">
        <f>IF(COUNTIF($X$4:$X$8,G230)&gt;0,G230,IF(ISBLANK(G230),IF(ISBLANK(G231),T(G230),"ERREUR"),"ERREUR"))</f>
        <v/>
      </c>
      <c r="Q230" s="38" t="str">
        <f>IF(ISNUMBER(H230),IF(INT(H230)=H230,H230,"ERREUR"),IF(ISBLANK(H230),IF(ISBLANK(H231),T(H230),"ERREUR"),"ERREUR"))</f>
        <v/>
      </c>
      <c r="R230" s="38"/>
      <c r="S230" s="1" t="s">
        <v>501</v>
      </c>
      <c r="T230" s="38" t="s">
        <v>502</v>
      </c>
      <c r="U230" s="38" t="str">
        <f>SUBSTITUTE(SUBSTITUTE(SUBSTITUTE(SUBSTITUTE(SUBSTITUTE(SUBSTITUTE(SUBSTITUTE(SUBSTITUTE(UPPER(S230),"Å","A"),"É","E"),"È","E"),"Ê","E"),"Ë","E"),"Î","I"),"Ï","I"),"Ô","O")</f>
        <v>TURKMENISTAN</v>
      </c>
      <c r="V230" s="38"/>
      <c r="W230" s="38"/>
      <c r="X230" s="53"/>
      <c r="Y230" s="42"/>
      <c r="Z230" s="42"/>
      <c r="AA230" s="42"/>
    </row>
    <row r="231" ht="13.75" customHeight="1">
      <c r="A231" s="14" t="s">
        <v>140</v>
      </c>
      <c r="B231" s="50"/>
      <c r="C231" s="43"/>
      <c r="D231" s="43"/>
      <c r="E231" s="44"/>
      <c r="F231" s="44"/>
      <c r="G231" s="44"/>
      <c r="H231" s="45"/>
      <c r="I231" s="54"/>
      <c r="J231" s="47" t="str">
        <f>IF(OR(K231="ERREUR",L231="ERREUR",M231="ERREUR",N231="ERREUR",O231="ERREUR",P231="ERREUR",Q231="ERREUR"),"ERREUR",IF(AND(K231="",L231="",M231="",N231="",O231="",P231="",Q231=""),"ligne vide",IF(OR(K231="",L231="",M231="",N231="",O231="",P231="",Q231=""),"ligne incomplète","Valide")))</f>
        <v xml:space="preserve">ligne vide</v>
      </c>
      <c r="K231" s="48" t="str">
        <f>IF(ISBLANK(B231),IF(ISBLANK(B232),T(B231),"ERREUR"),IF(ISNUMBER(B231),_xlfn.NUMBERVALUE(B231),IF(ISTEXT(B231),VALUE(B231),"ERREUR")))</f>
        <v/>
      </c>
      <c r="L231" s="38" t="str">
        <f>IF(COUNTIF($R$4:$R$6,C231)&gt;0,C231,IF(ISBLANK(C231),IF(ISBLANK(D231),T(C231),"ERREUR"),"ERREUR"))</f>
        <v/>
      </c>
      <c r="M231" s="49" t="str">
        <f>IF(ISBLANK(D231),IF(ISBLANK(D232),T(D231),"ERREUR"),IF(COUNTIF($T$4:$T$240,SUBSTITUTE(SUBSTITUTE(SUBSTITUTE(SUBSTITUTE(SUBSTITUTE(SUBSTITUTE(UPPER(D231),"Å","A"),"É","E"),"È","E"),"Ê","E"),"Î","I"),"Ï","I"))&gt;0,D231,IF(ISBLANK(D231),T(D231),"ERREUR")))</f>
        <v/>
      </c>
      <c r="N231" s="38" t="str">
        <f>IF(COUNTIF($V$4:$V$6,E231)&gt;0,E231,IF(ISBLANK(E231),IF(ISBLANK(E232),T(E231),"ERREUR"),"ERREUR"))</f>
        <v/>
      </c>
      <c r="O231" s="38" t="str">
        <f>IF(COUNTIF($W$4:$W$5,F231)&gt;0,F231,IF(ISBLANK(F231),IF(ISBLANK(F232),T(F231),"ERREUR"),"ERREUR"))</f>
        <v/>
      </c>
      <c r="P231" s="38" t="str">
        <f>IF(COUNTIF($X$4:$X$8,G231)&gt;0,G231,IF(ISBLANK(G231),IF(ISBLANK(G232),T(G231),"ERREUR"),"ERREUR"))</f>
        <v/>
      </c>
      <c r="Q231" s="38" t="str">
        <f>IF(ISNUMBER(H231),IF(INT(H231)=H231,H231,"ERREUR"),IF(ISBLANK(H231),IF(ISBLANK(H232),T(H231),"ERREUR"),"ERREUR"))</f>
        <v/>
      </c>
      <c r="R231" s="38"/>
      <c r="S231" s="1" t="s">
        <v>503</v>
      </c>
      <c r="T231" s="38" t="s">
        <v>504</v>
      </c>
      <c r="U231" s="38" t="str">
        <f>SUBSTITUTE(SUBSTITUTE(SUBSTITUTE(SUBSTITUTE(SUBSTITUTE(SUBSTITUTE(SUBSTITUTE(SUBSTITUTE(UPPER(S231),"Å","A"),"É","E"),"È","E"),"Ê","E"),"Ë","E"),"Î","I"),"Ï","I"),"Ô","O")</f>
        <v>TURQUIE</v>
      </c>
      <c r="V231" s="38"/>
      <c r="W231" s="38"/>
      <c r="X231" s="53"/>
      <c r="Y231" s="42"/>
      <c r="Z231" s="42"/>
      <c r="AA231" s="42"/>
    </row>
    <row r="232" ht="13.75" customHeight="1">
      <c r="A232" s="14" t="s">
        <v>140</v>
      </c>
      <c r="B232" s="50"/>
      <c r="C232" s="43"/>
      <c r="D232" s="43"/>
      <c r="E232" s="44"/>
      <c r="F232" s="44"/>
      <c r="G232" s="44"/>
      <c r="H232" s="45"/>
      <c r="I232" s="54"/>
      <c r="J232" s="47" t="str">
        <f>IF(OR(K232="ERREUR",L232="ERREUR",M232="ERREUR",N232="ERREUR",O232="ERREUR",P232="ERREUR",Q232="ERREUR"),"ERREUR",IF(AND(K232="",L232="",M232="",N232="",O232="",P232="",Q232=""),"ligne vide",IF(OR(K232="",L232="",M232="",N232="",O232="",P232="",Q232=""),"ligne incomplète","Valide")))</f>
        <v xml:space="preserve">ligne vide</v>
      </c>
      <c r="K232" s="48" t="str">
        <f>IF(ISBLANK(B232),IF(ISBLANK(B233),T(B232),"ERREUR"),IF(ISNUMBER(B232),_xlfn.NUMBERVALUE(B232),IF(ISTEXT(B232),VALUE(B232),"ERREUR")))</f>
        <v/>
      </c>
      <c r="L232" s="38" t="str">
        <f>IF(COUNTIF($R$4:$R$6,C232)&gt;0,C232,IF(ISBLANK(C232),IF(ISBLANK(D232),T(C232),"ERREUR"),"ERREUR"))</f>
        <v/>
      </c>
      <c r="M232" s="49" t="str">
        <f>IF(ISBLANK(D232),IF(ISBLANK(D233),T(D232),"ERREUR"),IF(COUNTIF($T$4:$T$240,SUBSTITUTE(SUBSTITUTE(SUBSTITUTE(SUBSTITUTE(SUBSTITUTE(SUBSTITUTE(UPPER(D232),"Å","A"),"É","E"),"È","E"),"Ê","E"),"Î","I"),"Ï","I"))&gt;0,D232,IF(ISBLANK(D232),T(D232),"ERREUR")))</f>
        <v/>
      </c>
      <c r="N232" s="38" t="str">
        <f>IF(COUNTIF($V$4:$V$6,E232)&gt;0,E232,IF(ISBLANK(E232),IF(ISBLANK(E233),T(E232),"ERREUR"),"ERREUR"))</f>
        <v/>
      </c>
      <c r="O232" s="38" t="str">
        <f>IF(COUNTIF($W$4:$W$5,F232)&gt;0,F232,IF(ISBLANK(F232),IF(ISBLANK(F233),T(F232),"ERREUR"),"ERREUR"))</f>
        <v/>
      </c>
      <c r="P232" s="38" t="str">
        <f>IF(COUNTIF($X$4:$X$8,G232)&gt;0,G232,IF(ISBLANK(G232),IF(ISBLANK(G233),T(G232),"ERREUR"),"ERREUR"))</f>
        <v/>
      </c>
      <c r="Q232" s="38" t="str">
        <f>IF(ISNUMBER(H232),IF(INT(H232)=H232,H232,"ERREUR"),IF(ISBLANK(H232),IF(ISBLANK(H233),T(H232),"ERREUR"),"ERREUR"))</f>
        <v/>
      </c>
      <c r="R232" s="38"/>
      <c r="S232" s="1" t="s">
        <v>505</v>
      </c>
      <c r="T232" s="38" t="s">
        <v>506</v>
      </c>
      <c r="U232" s="38" t="str">
        <f>SUBSTITUTE(SUBSTITUTE(SUBSTITUTE(SUBSTITUTE(SUBSTITUTE(SUBSTITUTE(SUBSTITUTE(SUBSTITUTE(UPPER(S232),"Å","A"),"É","E"),"È","E"),"Ê","E"),"Ë","E"),"Î","I"),"Ï","I"),"Ô","O")</f>
        <v>TUVALU</v>
      </c>
      <c r="V232" s="38"/>
      <c r="W232" s="38"/>
      <c r="X232" s="53"/>
      <c r="Y232" s="42"/>
      <c r="Z232" s="42"/>
      <c r="AA232" s="42"/>
    </row>
    <row r="233" ht="13.75" customHeight="1">
      <c r="A233" s="14" t="s">
        <v>140</v>
      </c>
      <c r="B233" s="50"/>
      <c r="C233" s="43"/>
      <c r="D233" s="43"/>
      <c r="E233" s="44"/>
      <c r="F233" s="44"/>
      <c r="G233" s="44"/>
      <c r="H233" s="45"/>
      <c r="I233" s="54"/>
      <c r="J233" s="47" t="str">
        <f>IF(OR(K233="ERREUR",L233="ERREUR",M233="ERREUR",N233="ERREUR",O233="ERREUR",P233="ERREUR",Q233="ERREUR"),"ERREUR",IF(AND(K233="",L233="",M233="",N233="",O233="",P233="",Q233=""),"ligne vide",IF(OR(K233="",L233="",M233="",N233="",O233="",P233="",Q233=""),"ligne incomplète","Valide")))</f>
        <v xml:space="preserve">ligne vide</v>
      </c>
      <c r="K233" s="48" t="str">
        <f>IF(ISBLANK(B233),IF(ISBLANK(B234),T(B233),"ERREUR"),IF(ISNUMBER(B233),_xlfn.NUMBERVALUE(B233),IF(ISTEXT(B233),VALUE(B233),"ERREUR")))</f>
        <v/>
      </c>
      <c r="L233" s="38" t="str">
        <f>IF(COUNTIF($R$4:$R$6,C233)&gt;0,C233,IF(ISBLANK(C233),IF(ISBLANK(D233),T(C233),"ERREUR"),"ERREUR"))</f>
        <v/>
      </c>
      <c r="M233" s="49" t="str">
        <f>IF(ISBLANK(D233),IF(ISBLANK(D234),T(D233),"ERREUR"),IF(COUNTIF($T$4:$T$240,SUBSTITUTE(SUBSTITUTE(SUBSTITUTE(SUBSTITUTE(SUBSTITUTE(SUBSTITUTE(UPPER(D233),"Å","A"),"É","E"),"È","E"),"Ê","E"),"Î","I"),"Ï","I"))&gt;0,D233,IF(ISBLANK(D233),T(D233),"ERREUR")))</f>
        <v/>
      </c>
      <c r="N233" s="38" t="str">
        <f>IF(COUNTIF($V$4:$V$6,E233)&gt;0,E233,IF(ISBLANK(E233),IF(ISBLANK(E234),T(E233),"ERREUR"),"ERREUR"))</f>
        <v/>
      </c>
      <c r="O233" s="38" t="str">
        <f>IF(COUNTIF($W$4:$W$5,F233)&gt;0,F233,IF(ISBLANK(F233),IF(ISBLANK(F234),T(F233),"ERREUR"),"ERREUR"))</f>
        <v/>
      </c>
      <c r="P233" s="38" t="str">
        <f>IF(COUNTIF($X$4:$X$8,G233)&gt;0,G233,IF(ISBLANK(G233),IF(ISBLANK(G234),T(G233),"ERREUR"),"ERREUR"))</f>
        <v/>
      </c>
      <c r="Q233" s="38" t="str">
        <f>IF(ISNUMBER(H233),IF(INT(H233)=H233,H233,"ERREUR"),IF(ISBLANK(H233),IF(ISBLANK(H234),T(H233),"ERREUR"),"ERREUR"))</f>
        <v/>
      </c>
      <c r="R233" s="38"/>
      <c r="S233" s="1" t="s">
        <v>507</v>
      </c>
      <c r="T233" s="38" t="s">
        <v>508</v>
      </c>
      <c r="U233" s="38" t="str">
        <f>SUBSTITUTE(SUBSTITUTE(SUBSTITUTE(SUBSTITUTE(SUBSTITUTE(SUBSTITUTE(SUBSTITUTE(SUBSTITUTE(UPPER(S233),"Å","A"),"É","E"),"È","E"),"Ê","E"),"Ë","E"),"Î","I"),"Ï","I"),"Ô","O")</f>
        <v>UKRAINE</v>
      </c>
      <c r="V233" s="38"/>
      <c r="W233" s="38"/>
      <c r="X233" s="53"/>
      <c r="Y233" s="42"/>
      <c r="Z233" s="42"/>
      <c r="AA233" s="42"/>
    </row>
    <row r="234" ht="13.75" customHeight="1">
      <c r="A234" s="14" t="s">
        <v>140</v>
      </c>
      <c r="B234" s="50"/>
      <c r="C234" s="43"/>
      <c r="D234" s="43"/>
      <c r="E234" s="44"/>
      <c r="F234" s="44"/>
      <c r="G234" s="44"/>
      <c r="H234" s="45"/>
      <c r="I234" s="54"/>
      <c r="J234" s="47" t="str">
        <f>IF(OR(K234="ERREUR",L234="ERREUR",M234="ERREUR",N234="ERREUR",O234="ERREUR",P234="ERREUR",Q234="ERREUR"),"ERREUR",IF(AND(K234="",L234="",M234="",N234="",O234="",P234="",Q234=""),"ligne vide",IF(OR(K234="",L234="",M234="",N234="",O234="",P234="",Q234=""),"ligne incomplète","Valide")))</f>
        <v xml:space="preserve">ligne vide</v>
      </c>
      <c r="K234" s="48" t="str">
        <f>IF(ISBLANK(B234),IF(ISBLANK(B235),T(B234),"ERREUR"),IF(ISNUMBER(B234),_xlfn.NUMBERVALUE(B234),IF(ISTEXT(B234),VALUE(B234),"ERREUR")))</f>
        <v/>
      </c>
      <c r="L234" s="38" t="str">
        <f>IF(COUNTIF($R$4:$R$6,C234)&gt;0,C234,IF(ISBLANK(C234),IF(ISBLANK(D234),T(C234),"ERREUR"),"ERREUR"))</f>
        <v/>
      </c>
      <c r="M234" s="49" t="str">
        <f>IF(ISBLANK(D234),IF(ISBLANK(D235),T(D234),"ERREUR"),IF(COUNTIF($T$4:$T$240,SUBSTITUTE(SUBSTITUTE(SUBSTITUTE(SUBSTITUTE(SUBSTITUTE(SUBSTITUTE(UPPER(D234),"Å","A"),"É","E"),"È","E"),"Ê","E"),"Î","I"),"Ï","I"))&gt;0,D234,IF(ISBLANK(D234),T(D234),"ERREUR")))</f>
        <v/>
      </c>
      <c r="N234" s="38" t="str">
        <f>IF(COUNTIF($V$4:$V$6,E234)&gt;0,E234,IF(ISBLANK(E234),IF(ISBLANK(E235),T(E234),"ERREUR"),"ERREUR"))</f>
        <v/>
      </c>
      <c r="O234" s="38" t="str">
        <f>IF(COUNTIF($W$4:$W$5,F234)&gt;0,F234,IF(ISBLANK(F234),IF(ISBLANK(F235),T(F234),"ERREUR"),"ERREUR"))</f>
        <v/>
      </c>
      <c r="P234" s="38" t="str">
        <f>IF(COUNTIF($X$4:$X$8,G234)&gt;0,G234,IF(ISBLANK(G234),IF(ISBLANK(G235),T(G234),"ERREUR"),"ERREUR"))</f>
        <v/>
      </c>
      <c r="Q234" s="38" t="str">
        <f>IF(ISNUMBER(H234),IF(INT(H234)=H234,H234,"ERREUR"),IF(ISBLANK(H234),IF(ISBLANK(H235),T(H234),"ERREUR"),"ERREUR"))</f>
        <v/>
      </c>
      <c r="R234" s="38"/>
      <c r="S234" s="1" t="s">
        <v>509</v>
      </c>
      <c r="T234" s="38" t="s">
        <v>510</v>
      </c>
      <c r="U234" s="38" t="str">
        <f>SUBSTITUTE(SUBSTITUTE(SUBSTITUTE(SUBSTITUTE(SUBSTITUTE(SUBSTITUTE(SUBSTITUTE(SUBSTITUTE(UPPER(S234),"Å","A"),"É","E"),"È","E"),"Ê","E"),"Ë","E"),"Î","I"),"Ï","I"),"Ô","O")</f>
        <v>URUGUAY</v>
      </c>
      <c r="V234" s="38"/>
      <c r="W234" s="38"/>
      <c r="X234" s="53"/>
      <c r="Y234" s="42"/>
      <c r="Z234" s="42"/>
      <c r="AA234" s="42"/>
    </row>
    <row r="235" ht="13.75" customHeight="1">
      <c r="A235" s="14" t="s">
        <v>140</v>
      </c>
      <c r="B235" s="50"/>
      <c r="C235" s="43"/>
      <c r="D235" s="43"/>
      <c r="E235" s="44"/>
      <c r="F235" s="44"/>
      <c r="G235" s="44"/>
      <c r="H235" s="45"/>
      <c r="I235" s="54"/>
      <c r="J235" s="47" t="str">
        <f>IF(OR(K235="ERREUR",L235="ERREUR",M235="ERREUR",N235="ERREUR",O235="ERREUR",P235="ERREUR",Q235="ERREUR"),"ERREUR",IF(AND(K235="",L235="",M235="",N235="",O235="",P235="",Q235=""),"ligne vide",IF(OR(K235="",L235="",M235="",N235="",O235="",P235="",Q235=""),"ligne incomplète","Valide")))</f>
        <v xml:space="preserve">ligne vide</v>
      </c>
      <c r="K235" s="48" t="str">
        <f>IF(ISBLANK(B235),IF(ISBLANK(B236),T(B235),"ERREUR"),IF(ISNUMBER(B235),_xlfn.NUMBERVALUE(B235),IF(ISTEXT(B235),VALUE(B235),"ERREUR")))</f>
        <v/>
      </c>
      <c r="L235" s="38" t="str">
        <f>IF(COUNTIF($R$4:$R$6,C235)&gt;0,C235,IF(ISBLANK(C235),IF(ISBLANK(D235),T(C235),"ERREUR"),"ERREUR"))</f>
        <v/>
      </c>
      <c r="M235" s="49" t="str">
        <f>IF(ISBLANK(D235),IF(ISBLANK(D236),T(D235),"ERREUR"),IF(COUNTIF($T$4:$T$240,SUBSTITUTE(SUBSTITUTE(SUBSTITUTE(SUBSTITUTE(SUBSTITUTE(SUBSTITUTE(UPPER(D235),"Å","A"),"É","E"),"È","E"),"Ê","E"),"Î","I"),"Ï","I"))&gt;0,D235,IF(ISBLANK(D235),T(D235),"ERREUR")))</f>
        <v/>
      </c>
      <c r="N235" s="38" t="str">
        <f>IF(COUNTIF($V$4:$V$6,E235)&gt;0,E235,IF(ISBLANK(E235),IF(ISBLANK(E236),T(E235),"ERREUR"),"ERREUR"))</f>
        <v/>
      </c>
      <c r="O235" s="38" t="str">
        <f>IF(COUNTIF($W$4:$W$5,F235)&gt;0,F235,IF(ISBLANK(F235),IF(ISBLANK(F236),T(F235),"ERREUR"),"ERREUR"))</f>
        <v/>
      </c>
      <c r="P235" s="38" t="str">
        <f>IF(COUNTIF($X$4:$X$8,G235)&gt;0,G235,IF(ISBLANK(G235),IF(ISBLANK(G236),T(G235),"ERREUR"),"ERREUR"))</f>
        <v/>
      </c>
      <c r="Q235" s="38" t="str">
        <f>IF(ISNUMBER(H235),IF(INT(H235)=H235,H235,"ERREUR"),IF(ISBLANK(H235),IF(ISBLANK(H236),T(H235),"ERREUR"),"ERREUR"))</f>
        <v/>
      </c>
      <c r="R235" s="38"/>
      <c r="S235" s="1" t="s">
        <v>511</v>
      </c>
      <c r="T235" s="38" t="s">
        <v>512</v>
      </c>
      <c r="U235" s="38" t="str">
        <f>SUBSTITUTE(SUBSTITUTE(SUBSTITUTE(SUBSTITUTE(SUBSTITUTE(SUBSTITUTE(SUBSTITUTE(SUBSTITUTE(UPPER(S235),"Å","A"),"É","E"),"È","E"),"Ê","E"),"Ë","E"),"Î","I"),"Ï","I"),"Ô","O")</f>
        <v>VANUATU</v>
      </c>
      <c r="V235" s="38"/>
      <c r="W235" s="38"/>
      <c r="X235" s="53"/>
      <c r="Y235" s="42"/>
      <c r="Z235" s="42"/>
      <c r="AA235" s="42"/>
    </row>
    <row r="236" ht="13.75" customHeight="1">
      <c r="A236" s="14" t="s">
        <v>140</v>
      </c>
      <c r="B236" s="50"/>
      <c r="C236" s="43"/>
      <c r="D236" s="43"/>
      <c r="E236" s="44"/>
      <c r="F236" s="44"/>
      <c r="G236" s="44"/>
      <c r="H236" s="45"/>
      <c r="I236" s="54"/>
      <c r="J236" s="47" t="str">
        <f>IF(OR(K236="ERREUR",L236="ERREUR",M236="ERREUR",N236="ERREUR",O236="ERREUR",P236="ERREUR",Q236="ERREUR"),"ERREUR",IF(AND(K236="",L236="",M236="",N236="",O236="",P236="",Q236=""),"ligne vide",IF(OR(K236="",L236="",M236="",N236="",O236="",P236="",Q236=""),"ligne incomplète","Valide")))</f>
        <v xml:space="preserve">ligne vide</v>
      </c>
      <c r="K236" s="48" t="str">
        <f>IF(ISBLANK(B236),IF(ISBLANK(B237),T(B236),"ERREUR"),IF(ISNUMBER(B236),_xlfn.NUMBERVALUE(B236),IF(ISTEXT(B236),VALUE(B236),"ERREUR")))</f>
        <v/>
      </c>
      <c r="L236" s="38" t="str">
        <f>IF(COUNTIF($R$4:$R$6,C236)&gt;0,C236,IF(ISBLANK(C236),IF(ISBLANK(D236),T(C236),"ERREUR"),"ERREUR"))</f>
        <v/>
      </c>
      <c r="M236" s="49" t="str">
        <f>IF(ISBLANK(D236),IF(ISBLANK(D237),T(D236),"ERREUR"),IF(COUNTIF($T$4:$T$240,SUBSTITUTE(SUBSTITUTE(SUBSTITUTE(SUBSTITUTE(SUBSTITUTE(SUBSTITUTE(UPPER(D236),"Å","A"),"É","E"),"È","E"),"Ê","E"),"Î","I"),"Ï","I"))&gt;0,D236,IF(ISBLANK(D236),T(D236),"ERREUR")))</f>
        <v/>
      </c>
      <c r="N236" s="38" t="str">
        <f>IF(COUNTIF($V$4:$V$6,E236)&gt;0,E236,IF(ISBLANK(E236),IF(ISBLANK(E237),T(E236),"ERREUR"),"ERREUR"))</f>
        <v/>
      </c>
      <c r="O236" s="38" t="str">
        <f>IF(COUNTIF($W$4:$W$5,F236)&gt;0,F236,IF(ISBLANK(F236),IF(ISBLANK(F237),T(F236),"ERREUR"),"ERREUR"))</f>
        <v/>
      </c>
      <c r="P236" s="38" t="str">
        <f>IF(COUNTIF($X$4:$X$8,G236)&gt;0,G236,IF(ISBLANK(G236),IF(ISBLANK(G237),T(G236),"ERREUR"),"ERREUR"))</f>
        <v/>
      </c>
      <c r="Q236" s="38" t="str">
        <f>IF(ISNUMBER(H236),IF(INT(H236)=H236,H236,"ERREUR"),IF(ISBLANK(H236),IF(ISBLANK(H237),T(H236),"ERREUR"),"ERREUR"))</f>
        <v/>
      </c>
      <c r="R236" s="38"/>
      <c r="S236" s="1" t="s">
        <v>513</v>
      </c>
      <c r="T236" s="38" t="s">
        <v>514</v>
      </c>
      <c r="U236" s="38" t="str">
        <f>SUBSTITUTE(SUBSTITUTE(SUBSTITUTE(SUBSTITUTE(SUBSTITUTE(SUBSTITUTE(SUBSTITUTE(SUBSTITUTE(UPPER(S236),"Å","A"),"É","E"),"È","E"),"Ê","E"),"Ë","E"),"Î","I"),"Ï","I"),"Ô","O")</f>
        <v>VENEZUELA</v>
      </c>
      <c r="V236" s="38"/>
      <c r="W236" s="38"/>
      <c r="X236" s="53"/>
      <c r="Y236" s="42"/>
      <c r="Z236" s="42"/>
      <c r="AA236" s="42"/>
    </row>
    <row r="237" ht="13.75" customHeight="1">
      <c r="A237" s="14" t="s">
        <v>140</v>
      </c>
      <c r="B237" s="50"/>
      <c r="C237" s="43"/>
      <c r="D237" s="43"/>
      <c r="E237" s="44"/>
      <c r="F237" s="44"/>
      <c r="G237" s="44"/>
      <c r="H237" s="45"/>
      <c r="I237" s="54"/>
      <c r="J237" s="47" t="str">
        <f>IF(OR(K237="ERREUR",L237="ERREUR",M237="ERREUR",N237="ERREUR",O237="ERREUR",P237="ERREUR",Q237="ERREUR"),"ERREUR",IF(AND(K237="",L237="",M237="",N237="",O237="",P237="",Q237=""),"ligne vide",IF(OR(K237="",L237="",M237="",N237="",O237="",P237="",Q237=""),"ligne incomplète","Valide")))</f>
        <v xml:space="preserve">ligne vide</v>
      </c>
      <c r="K237" s="48" t="str">
        <f>IF(ISBLANK(B237),IF(ISBLANK(B238),T(B237),"ERREUR"),IF(ISNUMBER(B237),_xlfn.NUMBERVALUE(B237),IF(ISTEXT(B237),VALUE(B237),"ERREUR")))</f>
        <v/>
      </c>
      <c r="L237" s="38" t="str">
        <f>IF(COUNTIF($R$4:$R$6,C237)&gt;0,C237,IF(ISBLANK(C237),IF(ISBLANK(D237),T(C237),"ERREUR"),"ERREUR"))</f>
        <v/>
      </c>
      <c r="M237" s="49" t="str">
        <f>IF(ISBLANK(D237),IF(ISBLANK(D238),T(D237),"ERREUR"),IF(COUNTIF($T$4:$T$240,SUBSTITUTE(SUBSTITUTE(SUBSTITUTE(SUBSTITUTE(SUBSTITUTE(SUBSTITUTE(UPPER(D237),"Å","A"),"É","E"),"È","E"),"Ê","E"),"Î","I"),"Ï","I"))&gt;0,D237,IF(ISBLANK(D237),T(D237),"ERREUR")))</f>
        <v/>
      </c>
      <c r="N237" s="38" t="str">
        <f>IF(COUNTIF($V$4:$V$6,E237)&gt;0,E237,IF(ISBLANK(E237),IF(ISBLANK(E238),T(E237),"ERREUR"),"ERREUR"))</f>
        <v/>
      </c>
      <c r="O237" s="38" t="str">
        <f>IF(COUNTIF($W$4:$W$5,F237)&gt;0,F237,IF(ISBLANK(F237),IF(ISBLANK(F238),T(F237),"ERREUR"),"ERREUR"))</f>
        <v/>
      </c>
      <c r="P237" s="38" t="str">
        <f>IF(COUNTIF($X$4:$X$8,G237)&gt;0,G237,IF(ISBLANK(G237),IF(ISBLANK(G238),T(G237),"ERREUR"),"ERREUR"))</f>
        <v/>
      </c>
      <c r="Q237" s="38" t="str">
        <f>IF(ISNUMBER(H237),IF(INT(H237)=H237,H237,"ERREUR"),IF(ISBLANK(H237),IF(ISBLANK(H238),T(H237),"ERREUR"),"ERREUR"))</f>
        <v/>
      </c>
      <c r="R237" s="38"/>
      <c r="S237" s="1" t="s">
        <v>515</v>
      </c>
      <c r="T237" s="38" t="s">
        <v>516</v>
      </c>
      <c r="U237" s="38" t="str">
        <f>SUBSTITUTE(SUBSTITUTE(SUBSTITUTE(SUBSTITUTE(SUBSTITUTE(SUBSTITUTE(SUBSTITUTE(SUBSTITUTE(UPPER(S237),"Å","A"),"É","E"),"È","E"),"Ê","E"),"Ë","E"),"Î","I"),"Ï","I"),"Ô","O")</f>
        <v xml:space="preserve">VIET NAM</v>
      </c>
      <c r="V237" s="38"/>
      <c r="W237" s="38"/>
      <c r="X237" s="53"/>
      <c r="Y237" s="42"/>
      <c r="Z237" s="42"/>
      <c r="AA237" s="42"/>
    </row>
    <row r="238" ht="13.75" customHeight="1">
      <c r="A238" s="14" t="s">
        <v>140</v>
      </c>
      <c r="B238" s="50"/>
      <c r="C238" s="43"/>
      <c r="D238" s="43"/>
      <c r="E238" s="44"/>
      <c r="F238" s="44"/>
      <c r="G238" s="44"/>
      <c r="H238" s="45"/>
      <c r="I238" s="54"/>
      <c r="J238" s="47" t="str">
        <f>IF(OR(K238="ERREUR",L238="ERREUR",M238="ERREUR",N238="ERREUR",O238="ERREUR",P238="ERREUR",Q238="ERREUR"),"ERREUR",IF(AND(K238="",L238="",M238="",N238="",O238="",P238="",Q238=""),"ligne vide",IF(OR(K238="",L238="",M238="",N238="",O238="",P238="",Q238=""),"ligne incomplète","Valide")))</f>
        <v xml:space="preserve">ligne vide</v>
      </c>
      <c r="K238" s="48" t="str">
        <f>IF(ISBLANK(B238),IF(ISBLANK(B239),T(B238),"ERREUR"),IF(ISNUMBER(B238),_xlfn.NUMBERVALUE(B238),IF(ISTEXT(B238),VALUE(B238),"ERREUR")))</f>
        <v/>
      </c>
      <c r="L238" s="38" t="str">
        <f>IF(COUNTIF($R$4:$R$6,C238)&gt;0,C238,IF(ISBLANK(C238),IF(ISBLANK(D238),T(C238),"ERREUR"),"ERREUR"))</f>
        <v/>
      </c>
      <c r="M238" s="49" t="str">
        <f>IF(ISBLANK(D238),IF(ISBLANK(D239),T(D238),"ERREUR"),IF(COUNTIF($T$4:$T$240,SUBSTITUTE(SUBSTITUTE(SUBSTITUTE(SUBSTITUTE(SUBSTITUTE(SUBSTITUTE(UPPER(D238),"Å","A"),"É","E"),"È","E"),"Ê","E"),"Î","I"),"Ï","I"))&gt;0,D238,IF(ISBLANK(D238),T(D238),"ERREUR")))</f>
        <v/>
      </c>
      <c r="N238" s="38" t="str">
        <f>IF(COUNTIF($V$4:$V$6,E238)&gt;0,E238,IF(ISBLANK(E238),IF(ISBLANK(E239),T(E238),"ERREUR"),"ERREUR"))</f>
        <v/>
      </c>
      <c r="O238" s="38" t="str">
        <f>IF(COUNTIF($W$4:$W$5,F238)&gt;0,F238,IF(ISBLANK(F238),IF(ISBLANK(F239),T(F238),"ERREUR"),"ERREUR"))</f>
        <v/>
      </c>
      <c r="P238" s="38" t="str">
        <f>IF(COUNTIF($X$4:$X$8,G238)&gt;0,G238,IF(ISBLANK(G238),IF(ISBLANK(G239),T(G238),"ERREUR"),"ERREUR"))</f>
        <v/>
      </c>
      <c r="Q238" s="38" t="str">
        <f>IF(ISNUMBER(H238),IF(INT(H238)=H238,H238,"ERREUR"),IF(ISBLANK(H238),IF(ISBLANK(H239),T(H238),"ERREUR"),"ERREUR"))</f>
        <v/>
      </c>
      <c r="R238" s="38"/>
      <c r="S238" s="1" t="s">
        <v>517</v>
      </c>
      <c r="T238" s="38" t="s">
        <v>518</v>
      </c>
      <c r="U238" s="38" t="str">
        <f>SUBSTITUTE(SUBSTITUTE(SUBSTITUTE(SUBSTITUTE(SUBSTITUTE(SUBSTITUTE(SUBSTITUTE(SUBSTITUTE(UPPER(S238),"Å","A"),"É","E"),"È","E"),"Ê","E"),"Ë","E"),"Î","I"),"Ï","I"),"Ô","O")</f>
        <v>YEMEN</v>
      </c>
      <c r="V238" s="38"/>
      <c r="W238" s="38"/>
      <c r="X238" s="53"/>
      <c r="Y238" s="42"/>
      <c r="Z238" s="42"/>
      <c r="AA238" s="42"/>
    </row>
    <row r="239" ht="13.75" customHeight="1">
      <c r="A239" s="14" t="s">
        <v>140</v>
      </c>
      <c r="B239" s="50"/>
      <c r="C239" s="43"/>
      <c r="D239" s="43"/>
      <c r="E239" s="44"/>
      <c r="F239" s="44"/>
      <c r="G239" s="44"/>
      <c r="H239" s="45"/>
      <c r="I239" s="54"/>
      <c r="J239" s="47" t="str">
        <f>IF(OR(K239="ERREUR",L239="ERREUR",M239="ERREUR",N239="ERREUR",O239="ERREUR",P239="ERREUR",Q239="ERREUR"),"ERREUR",IF(AND(K239="",L239="",M239="",N239="",O239="",P239="",Q239=""),"ligne vide",IF(OR(K239="",L239="",M239="",N239="",O239="",P239="",Q239=""),"ligne incomplète","Valide")))</f>
        <v xml:space="preserve">ligne vide</v>
      </c>
      <c r="K239" s="48" t="str">
        <f>IF(ISBLANK(B239),IF(ISBLANK(B240),T(B239),"ERREUR"),IF(ISNUMBER(B239),_xlfn.NUMBERVALUE(B239),IF(ISTEXT(B239),VALUE(B239),"ERREUR")))</f>
        <v/>
      </c>
      <c r="L239" s="38" t="str">
        <f>IF(COUNTIF($R$4:$R$6,C239)&gt;0,C239,IF(ISBLANK(C239),IF(ISBLANK(D239),T(C239),"ERREUR"),"ERREUR"))</f>
        <v/>
      </c>
      <c r="M239" s="49" t="str">
        <f>IF(ISBLANK(D239),IF(ISBLANK(D240),T(D239),"ERREUR"),IF(COUNTIF($T$4:$T$240,SUBSTITUTE(SUBSTITUTE(SUBSTITUTE(SUBSTITUTE(SUBSTITUTE(SUBSTITUTE(UPPER(D239),"Å","A"),"É","E"),"È","E"),"Ê","E"),"Î","I"),"Ï","I"))&gt;0,D239,IF(ISBLANK(D239),T(D239),"ERREUR")))</f>
        <v/>
      </c>
      <c r="N239" s="38" t="str">
        <f>IF(COUNTIF($V$4:$V$6,E239)&gt;0,E239,IF(ISBLANK(E239),IF(ISBLANK(E240),T(E239),"ERREUR"),"ERREUR"))</f>
        <v/>
      </c>
      <c r="O239" s="38" t="str">
        <f>IF(COUNTIF($W$4:$W$5,F239)&gt;0,F239,IF(ISBLANK(F239),IF(ISBLANK(F240),T(F239),"ERREUR"),"ERREUR"))</f>
        <v/>
      </c>
      <c r="P239" s="38" t="str">
        <f>IF(COUNTIF($X$4:$X$8,G239)&gt;0,G239,IF(ISBLANK(G239),IF(ISBLANK(G240),T(G239),"ERREUR"),"ERREUR"))</f>
        <v/>
      </c>
      <c r="Q239" s="38" t="str">
        <f>IF(ISNUMBER(H239),IF(INT(H239)=H239,H239,"ERREUR"),IF(ISBLANK(H239),IF(ISBLANK(H240),T(H239),"ERREUR"),"ERREUR"))</f>
        <v/>
      </c>
      <c r="R239" s="38"/>
      <c r="S239" s="1" t="s">
        <v>519</v>
      </c>
      <c r="T239" s="38" t="s">
        <v>520</v>
      </c>
      <c r="U239" s="38" t="str">
        <f>SUBSTITUTE(SUBSTITUTE(SUBSTITUTE(SUBSTITUTE(SUBSTITUTE(SUBSTITUTE(SUBSTITUTE(SUBSTITUTE(UPPER(S239),"Å","A"),"É","E"),"È","E"),"Ê","E"),"Ë","E"),"Î","I"),"Ï","I"),"Ô","O")</f>
        <v>ZAMBIE</v>
      </c>
      <c r="V239" s="38"/>
      <c r="W239" s="38"/>
      <c r="X239" s="53"/>
      <c r="Y239" s="42"/>
      <c r="Z239" s="42"/>
      <c r="AA239" s="42"/>
    </row>
    <row r="240" ht="13.75" customHeight="1">
      <c r="A240" s="14" t="s">
        <v>140</v>
      </c>
      <c r="B240" s="50"/>
      <c r="C240" s="43"/>
      <c r="D240" s="43"/>
      <c r="E240" s="44"/>
      <c r="F240" s="44"/>
      <c r="G240" s="44"/>
      <c r="H240" s="45"/>
      <c r="I240" s="54"/>
      <c r="J240" s="47" t="str">
        <f>IF(OR(K240="ERREUR",L240="ERREUR",M240="ERREUR",N240="ERREUR",O240="ERREUR",P240="ERREUR",Q240="ERREUR"),"ERREUR",IF(AND(K240="",L240="",M240="",N240="",O240="",P240="",Q240=""),"ligne vide",IF(OR(K240="",L240="",M240="",N240="",O240="",P240="",Q240=""),"ligne incomplète","Valide")))</f>
        <v xml:space="preserve">ligne vide</v>
      </c>
      <c r="K240" s="48" t="str">
        <f>IF(ISBLANK(B240),IF(ISBLANK(B241),T(B240),"ERREUR"),IF(ISNUMBER(B240),_xlfn.NUMBERVALUE(B240),IF(ISTEXT(B240),VALUE(B240),"ERREUR")))</f>
        <v/>
      </c>
      <c r="L240" s="38" t="str">
        <f>IF(COUNTIF($R$4:$R$6,C240)&gt;0,C240,IF(ISBLANK(C240),IF(ISBLANK(D240),T(C240),"ERREUR"),"ERREUR"))</f>
        <v/>
      </c>
      <c r="M240" s="49" t="str">
        <f>IF(ISBLANK(D240),IF(ISBLANK(D241),T(D240),"ERREUR"),IF(COUNTIF($T$4:$T$240,SUBSTITUTE(SUBSTITUTE(SUBSTITUTE(SUBSTITUTE(SUBSTITUTE(SUBSTITUTE(UPPER(D240),"Å","A"),"É","E"),"È","E"),"Ê","E"),"Î","I"),"Ï","I"))&gt;0,D240,IF(ISBLANK(D240),T(D240),"ERREUR")))</f>
        <v/>
      </c>
      <c r="N240" s="38" t="str">
        <f>IF(COUNTIF($V$4:$V$6,E240)&gt;0,E240,IF(ISBLANK(E240),IF(ISBLANK(E241),T(E240),"ERREUR"),"ERREUR"))</f>
        <v/>
      </c>
      <c r="O240" s="38" t="str">
        <f>IF(COUNTIF($W$4:$W$5,F240)&gt;0,F240,IF(ISBLANK(F240),IF(ISBLANK(F241),T(F240),"ERREUR"),"ERREUR"))</f>
        <v/>
      </c>
      <c r="P240" s="38" t="str">
        <f>IF(COUNTIF($X$4:$X$8,G240)&gt;0,G240,IF(ISBLANK(G240),IF(ISBLANK(G241),T(G240),"ERREUR"),"ERREUR"))</f>
        <v/>
      </c>
      <c r="Q240" s="38" t="str">
        <f>IF(ISNUMBER(H240),IF(INT(H240)=H240,H240,"ERREUR"),IF(ISBLANK(H240),IF(ISBLANK(H241),T(H240),"ERREUR"),"ERREUR"))</f>
        <v/>
      </c>
      <c r="R240" s="38"/>
      <c r="S240" s="1" t="s">
        <v>521</v>
      </c>
      <c r="T240" s="38" t="s">
        <v>522</v>
      </c>
      <c r="U240" s="38" t="str">
        <f>SUBSTITUTE(SUBSTITUTE(SUBSTITUTE(SUBSTITUTE(SUBSTITUTE(SUBSTITUTE(SUBSTITUTE(SUBSTITUTE(UPPER(S240),"Å","A"),"É","E"),"È","E"),"Ê","E"),"Ë","E"),"Î","I"),"Ï","I"),"Ô","O")</f>
        <v>ZIMBABWE</v>
      </c>
      <c r="V240" s="38"/>
      <c r="W240" s="38"/>
      <c r="X240" s="53"/>
      <c r="Y240" s="42"/>
      <c r="Z240" s="42"/>
      <c r="AA240" s="42"/>
    </row>
    <row r="241" ht="13.75" customHeight="1">
      <c r="A241" s="14" t="s">
        <v>140</v>
      </c>
      <c r="B241" s="50"/>
      <c r="C241" s="43"/>
      <c r="D241" s="43"/>
      <c r="E241" s="44"/>
      <c r="F241" s="44"/>
      <c r="G241" s="44"/>
      <c r="H241" s="45"/>
      <c r="I241" s="54"/>
      <c r="J241" s="47" t="str">
        <f>IF(OR(K241="ERREUR",L241="ERREUR",M241="ERREUR",N241="ERREUR",O241="ERREUR",P241="ERREUR",Q241="ERREUR"),"ERREUR",IF(AND(K241="",L241="",M241="",N241="",O241="",P241="",Q241=""),"ligne vide",IF(OR(K241="",L241="",M241="",N241="",O241="",P241="",Q241=""),"ligne incomplète","Valide")))</f>
        <v xml:space="preserve">ligne vide</v>
      </c>
      <c r="K241" s="48" t="str">
        <f>IF(ISBLANK(B241),IF(ISBLANK(B242),T(B241),"ERREUR"),IF(ISNUMBER(B241),_xlfn.NUMBERVALUE(B241),IF(ISTEXT(B241),VALUE(B241),"ERREUR")))</f>
        <v/>
      </c>
      <c r="L241" s="38" t="str">
        <f>IF(COUNTIF($R$4:$R$6,C241)&gt;0,C241,IF(ISBLANK(C241),IF(ISBLANK(D241),T(C241),"ERREUR"),"ERREUR"))</f>
        <v/>
      </c>
      <c r="M241" s="49" t="str">
        <f>IF(ISBLANK(D241),IF(ISBLANK(D242),T(D241),"ERREUR"),IF(COUNTIF($T$4:$T$240,SUBSTITUTE(SUBSTITUTE(SUBSTITUTE(SUBSTITUTE(SUBSTITUTE(SUBSTITUTE(UPPER(D241),"Å","A"),"É","E"),"È","E"),"Ê","E"),"Î","I"),"Ï","I"))&gt;0,D241,IF(ISBLANK(D241),T(D241),"ERREUR")))</f>
        <v/>
      </c>
      <c r="N241" s="38" t="str">
        <f>IF(COUNTIF($V$4:$V$6,E241)&gt;0,E241,IF(ISBLANK(E241),IF(ISBLANK(E242),T(E241),"ERREUR"),"ERREUR"))</f>
        <v/>
      </c>
      <c r="O241" s="38" t="str">
        <f>IF(COUNTIF($W$4:$W$5,F241)&gt;0,F241,IF(ISBLANK(F241),IF(ISBLANK(F242),T(F241),"ERREUR"),"ERREUR"))</f>
        <v/>
      </c>
      <c r="P241" s="38" t="str">
        <f>IF(COUNTIF($X$4:$X$8,G241)&gt;0,G241,IF(ISBLANK(G241),IF(ISBLANK(G242),T(G241),"ERREUR"),"ERREUR"))</f>
        <v/>
      </c>
      <c r="Q241" s="38" t="str">
        <f>IF(ISNUMBER(H241),IF(INT(H241)=H241,H241,"ERREUR"),IF(ISBLANK(H241),IF(ISBLANK(H242),T(H241),"ERREUR"),"ERREUR"))</f>
        <v/>
      </c>
      <c r="R241" s="38"/>
      <c r="S241" s="38"/>
      <c r="T241" s="38"/>
      <c r="U241" s="38" t="str">
        <f>SUBSTITUTE(SUBSTITUTE(SUBSTITUTE(SUBSTITUTE(SUBSTITUTE(SUBSTITUTE(SUBSTITUTE(SUBSTITUTE(UPPER(S241),"Å","A"),"É","E"),"È","E"),"Ê","E"),"Ë","E"),"Î","I"),"Ï","I"),"Ô","O")</f>
        <v/>
      </c>
      <c r="V241" s="38"/>
      <c r="W241" s="38"/>
      <c r="X241" s="53"/>
      <c r="Y241" s="42"/>
      <c r="Z241" s="42"/>
      <c r="AA241" s="42"/>
    </row>
    <row r="242" ht="13.75" customHeight="1">
      <c r="A242" s="14" t="s">
        <v>140</v>
      </c>
      <c r="B242" s="50"/>
      <c r="C242" s="43"/>
      <c r="D242" s="43"/>
      <c r="E242" s="44"/>
      <c r="F242" s="44"/>
      <c r="G242" s="44"/>
      <c r="H242" s="45"/>
      <c r="I242" s="54"/>
      <c r="J242" s="47" t="str">
        <f>IF(OR(K242="ERREUR",L242="ERREUR",M242="ERREUR",N242="ERREUR",O242="ERREUR",P242="ERREUR",Q242="ERREUR"),"ERREUR",IF(AND(K242="",L242="",M242="",N242="",O242="",P242="",Q242=""),"ligne vide",IF(OR(K242="",L242="",M242="",N242="",O242="",P242="",Q242=""),"ligne incomplète","Valide")))</f>
        <v xml:space="preserve">ligne vide</v>
      </c>
      <c r="K242" s="48" t="str">
        <f>IF(ISBLANK(B242),IF(ISBLANK(B243),T(B242),"ERREUR"),IF(ISNUMBER(B242),_xlfn.NUMBERVALUE(B242),IF(ISTEXT(B242),VALUE(B242),"ERREUR")))</f>
        <v/>
      </c>
      <c r="L242" s="38" t="str">
        <f>IF(COUNTIF($R$4:$R$6,C242)&gt;0,C242,IF(ISBLANK(C242),IF(ISBLANK(D242),T(C242),"ERREUR"),"ERREUR"))</f>
        <v/>
      </c>
      <c r="M242" s="49" t="str">
        <f>IF(ISBLANK(D242),IF(ISBLANK(D243),T(D242),"ERREUR"),IF(COUNTIF($T$4:$T$240,SUBSTITUTE(SUBSTITUTE(SUBSTITUTE(SUBSTITUTE(SUBSTITUTE(SUBSTITUTE(UPPER(D242),"Å","A"),"É","E"),"È","E"),"Ê","E"),"Î","I"),"Ï","I"))&gt;0,D242,IF(ISBLANK(D242),T(D242),"ERREUR")))</f>
        <v/>
      </c>
      <c r="N242" s="38" t="str">
        <f>IF(COUNTIF($V$4:$V$6,E242)&gt;0,E242,IF(ISBLANK(E242),IF(ISBLANK(E243),T(E242),"ERREUR"),"ERREUR"))</f>
        <v/>
      </c>
      <c r="O242" s="38" t="str">
        <f>IF(COUNTIF($W$4:$W$5,F242)&gt;0,F242,IF(ISBLANK(F242),IF(ISBLANK(F243),T(F242),"ERREUR"),"ERREUR"))</f>
        <v/>
      </c>
      <c r="P242" s="38" t="str">
        <f>IF(COUNTIF($X$4:$X$8,G242)&gt;0,G242,IF(ISBLANK(G242),IF(ISBLANK(G243),T(G242),"ERREUR"),"ERREUR"))</f>
        <v/>
      </c>
      <c r="Q242" s="38" t="str">
        <f>IF(ISNUMBER(H242),IF(INT(H242)=H242,H242,"ERREUR"),IF(ISBLANK(H242),IF(ISBLANK(H243),T(H242),"ERREUR"),"ERREUR"))</f>
        <v/>
      </c>
      <c r="R242" s="38"/>
      <c r="S242" s="38"/>
      <c r="T242" s="38"/>
      <c r="U242" s="38" t="str">
        <f>SUBSTITUTE(SUBSTITUTE(SUBSTITUTE(SUBSTITUTE(SUBSTITUTE(SUBSTITUTE(SUBSTITUTE(SUBSTITUTE(UPPER(S242),"Å","A"),"É","E"),"È","E"),"Ê","E"),"Ë","E"),"Î","I"),"Ï","I"),"Ô","O")</f>
        <v/>
      </c>
      <c r="V242" s="38"/>
      <c r="W242" s="38"/>
      <c r="X242" s="53"/>
      <c r="Y242" s="42"/>
      <c r="Z242" s="42"/>
      <c r="AA242" s="42"/>
    </row>
    <row r="243" ht="13.75" customHeight="1">
      <c r="A243" s="14" t="s">
        <v>140</v>
      </c>
      <c r="B243" s="50"/>
      <c r="C243" s="43"/>
      <c r="D243" s="43"/>
      <c r="E243" s="44"/>
      <c r="F243" s="44"/>
      <c r="G243" s="44"/>
      <c r="H243" s="45"/>
      <c r="I243" s="54"/>
      <c r="J243" s="47" t="str">
        <f>IF(OR(K243="ERREUR",L243="ERREUR",M243="ERREUR",N243="ERREUR",O243="ERREUR",P243="ERREUR",Q243="ERREUR"),"ERREUR",IF(AND(K243="",L243="",M243="",N243="",O243="",P243="",Q243=""),"ligne vide",IF(OR(K243="",L243="",M243="",N243="",O243="",P243="",Q243=""),"ligne incomplète","Valide")))</f>
        <v xml:space="preserve">ligne vide</v>
      </c>
      <c r="K243" s="48" t="str">
        <f>IF(ISBLANK(B243),IF(ISBLANK(B244),T(B243),"ERREUR"),IF(ISNUMBER(B243),_xlfn.NUMBERVALUE(B243),IF(ISTEXT(B243),VALUE(B243),"ERREUR")))</f>
        <v/>
      </c>
      <c r="L243" s="38" t="str">
        <f>IF(COUNTIF($R$4:$R$6,C243)&gt;0,C243,IF(ISBLANK(C243),IF(ISBLANK(D243),T(C243),"ERREUR"),"ERREUR"))</f>
        <v/>
      </c>
      <c r="M243" s="49" t="str">
        <f>IF(ISBLANK(D243),IF(ISBLANK(D244),T(D243),"ERREUR"),IF(COUNTIF($T$4:$T$240,SUBSTITUTE(SUBSTITUTE(SUBSTITUTE(SUBSTITUTE(SUBSTITUTE(SUBSTITUTE(UPPER(D243),"Å","A"),"É","E"),"È","E"),"Ê","E"),"Î","I"),"Ï","I"))&gt;0,D243,IF(ISBLANK(D243),T(D243),"ERREUR")))</f>
        <v/>
      </c>
      <c r="N243" s="38" t="str">
        <f>IF(COUNTIF($V$4:$V$6,E243)&gt;0,E243,IF(ISBLANK(E243),IF(ISBLANK(E244),T(E243),"ERREUR"),"ERREUR"))</f>
        <v/>
      </c>
      <c r="O243" s="38" t="str">
        <f>IF(COUNTIF($W$4:$W$5,F243)&gt;0,F243,IF(ISBLANK(F243),IF(ISBLANK(F244),T(F243),"ERREUR"),"ERREUR"))</f>
        <v/>
      </c>
      <c r="P243" s="38" t="str">
        <f>IF(COUNTIF($X$4:$X$8,G243)&gt;0,G243,IF(ISBLANK(G243),IF(ISBLANK(G244),T(G243),"ERREUR"),"ERREUR"))</f>
        <v/>
      </c>
      <c r="Q243" s="38" t="str">
        <f>IF(ISNUMBER(H243),IF(INT(H243)=H243,H243,"ERREUR"),IF(ISBLANK(H243),IF(ISBLANK(H244),T(H243),"ERREUR"),"ERREUR"))</f>
        <v/>
      </c>
      <c r="R243" s="38"/>
      <c r="S243" s="38"/>
      <c r="T243" s="38"/>
      <c r="U243" s="38" t="str">
        <f>SUBSTITUTE(SUBSTITUTE(SUBSTITUTE(SUBSTITUTE(SUBSTITUTE(SUBSTITUTE(SUBSTITUTE(SUBSTITUTE(UPPER(S243),"Å","A"),"É","E"),"È","E"),"Ê","E"),"Ë","E"),"Î","I"),"Ï","I"),"Ô","O")</f>
        <v/>
      </c>
      <c r="V243" s="38"/>
      <c r="W243" s="38"/>
      <c r="X243" s="53"/>
      <c r="Y243" s="42"/>
      <c r="Z243" s="42"/>
      <c r="AA243" s="42"/>
    </row>
    <row r="244" ht="13.75" customHeight="1">
      <c r="A244" s="14" t="s">
        <v>140</v>
      </c>
      <c r="B244" s="50"/>
      <c r="C244" s="43"/>
      <c r="D244" s="43"/>
      <c r="E244" s="44"/>
      <c r="F244" s="44"/>
      <c r="G244" s="44"/>
      <c r="H244" s="45"/>
      <c r="I244" s="54"/>
      <c r="J244" s="47" t="str">
        <f>IF(OR(K244="ERREUR",L244="ERREUR",M244="ERREUR",N244="ERREUR",O244="ERREUR",P244="ERREUR",Q244="ERREUR"),"ERREUR",IF(AND(K244="",L244="",M244="",N244="",O244="",P244="",Q244=""),"ligne vide",IF(OR(K244="",L244="",M244="",N244="",O244="",P244="",Q244=""),"ligne incomplète","Valide")))</f>
        <v xml:space="preserve">ligne vide</v>
      </c>
      <c r="K244" s="48" t="str">
        <f>IF(ISBLANK(B244),IF(ISBLANK(B245),T(B244),"ERREUR"),IF(ISNUMBER(B244),_xlfn.NUMBERVALUE(B244),IF(ISTEXT(B244),VALUE(B244),"ERREUR")))</f>
        <v/>
      </c>
      <c r="L244" s="38" t="str">
        <f>IF(COUNTIF($R$4:$R$6,C244)&gt;0,C244,IF(ISBLANK(C244),IF(ISBLANK(D244),T(C244),"ERREUR"),"ERREUR"))</f>
        <v/>
      </c>
      <c r="M244" s="49" t="str">
        <f>IF(ISBLANK(D244),IF(ISBLANK(D245),T(D244),"ERREUR"),IF(COUNTIF($T$4:$T$240,SUBSTITUTE(SUBSTITUTE(SUBSTITUTE(SUBSTITUTE(SUBSTITUTE(SUBSTITUTE(UPPER(D244),"Å","A"),"É","E"),"È","E"),"Ê","E"),"Î","I"),"Ï","I"))&gt;0,D244,IF(ISBLANK(D244),T(D244),"ERREUR")))</f>
        <v/>
      </c>
      <c r="N244" s="38" t="str">
        <f>IF(COUNTIF($V$4:$V$6,E244)&gt;0,E244,IF(ISBLANK(E244),IF(ISBLANK(E245),T(E244),"ERREUR"),"ERREUR"))</f>
        <v/>
      </c>
      <c r="O244" s="38" t="str">
        <f>IF(COUNTIF($W$4:$W$5,F244)&gt;0,F244,IF(ISBLANK(F244),IF(ISBLANK(F245),T(F244),"ERREUR"),"ERREUR"))</f>
        <v/>
      </c>
      <c r="P244" s="38" t="str">
        <f>IF(COUNTIF($X$4:$X$8,G244)&gt;0,G244,IF(ISBLANK(G244),IF(ISBLANK(G245),T(G244),"ERREUR"),"ERREUR"))</f>
        <v/>
      </c>
      <c r="Q244" s="38" t="str">
        <f>IF(ISNUMBER(H244),IF(INT(H244)=H244,H244,"ERREUR"),IF(ISBLANK(H244),IF(ISBLANK(H245),T(H244),"ERREUR"),"ERREUR"))</f>
        <v/>
      </c>
      <c r="R244" s="38"/>
      <c r="S244" s="38"/>
      <c r="T244" s="38"/>
      <c r="U244" s="38" t="str">
        <f>SUBSTITUTE(SUBSTITUTE(SUBSTITUTE(SUBSTITUTE(SUBSTITUTE(SUBSTITUTE(SUBSTITUTE(SUBSTITUTE(UPPER(S244),"Å","A"),"É","E"),"È","E"),"Ê","E"),"Ë","E"),"Î","I"),"Ï","I"),"Ô","O")</f>
        <v/>
      </c>
      <c r="V244" s="38"/>
      <c r="W244" s="38"/>
      <c r="X244" s="53"/>
      <c r="Y244" s="42"/>
      <c r="Z244" s="42"/>
      <c r="AA244" s="42"/>
    </row>
    <row r="245" ht="13.75" customHeight="1">
      <c r="A245" s="14" t="s">
        <v>140</v>
      </c>
      <c r="B245" s="50"/>
      <c r="C245" s="43"/>
      <c r="D245" s="43"/>
      <c r="E245" s="44"/>
      <c r="F245" s="44"/>
      <c r="G245" s="44"/>
      <c r="H245" s="45"/>
      <c r="I245" s="54"/>
      <c r="J245" s="47" t="str">
        <f>IF(OR(K245="ERREUR",L245="ERREUR",M245="ERREUR",N245="ERREUR",O245="ERREUR",P245="ERREUR",Q245="ERREUR"),"ERREUR",IF(AND(K245="",L245="",M245="",N245="",O245="",P245="",Q245=""),"ligne vide",IF(OR(K245="",L245="",M245="",N245="",O245="",P245="",Q245=""),"ligne incomplète","Valide")))</f>
        <v xml:space="preserve">ligne vide</v>
      </c>
      <c r="K245" s="48" t="str">
        <f>IF(ISBLANK(B245),IF(ISBLANK(B246),T(B245),"ERREUR"),IF(ISNUMBER(B245),_xlfn.NUMBERVALUE(B245),IF(ISTEXT(B245),VALUE(B245),"ERREUR")))</f>
        <v/>
      </c>
      <c r="L245" s="38" t="str">
        <f>IF(COUNTIF($R$4:$R$6,C245)&gt;0,C245,IF(ISBLANK(C245),IF(ISBLANK(D245),T(C245),"ERREUR"),"ERREUR"))</f>
        <v/>
      </c>
      <c r="M245" s="49" t="str">
        <f>IF(ISBLANK(D245),IF(ISBLANK(D246),T(D245),"ERREUR"),IF(COUNTIF($T$4:$T$240,SUBSTITUTE(SUBSTITUTE(SUBSTITUTE(SUBSTITUTE(SUBSTITUTE(SUBSTITUTE(UPPER(D245),"Å","A"),"É","E"),"È","E"),"Ê","E"),"Î","I"),"Ï","I"))&gt;0,D245,IF(ISBLANK(D245),T(D245),"ERREUR")))</f>
        <v/>
      </c>
      <c r="N245" s="38" t="str">
        <f>IF(COUNTIF($V$4:$V$6,E245)&gt;0,E245,IF(ISBLANK(E245),IF(ISBLANK(E246),T(E245),"ERREUR"),"ERREUR"))</f>
        <v/>
      </c>
      <c r="O245" s="38" t="str">
        <f>IF(COUNTIF($W$4:$W$5,F245)&gt;0,F245,IF(ISBLANK(F245),IF(ISBLANK(F246),T(F245),"ERREUR"),"ERREUR"))</f>
        <v/>
      </c>
      <c r="P245" s="38" t="str">
        <f>IF(COUNTIF($X$4:$X$8,G245)&gt;0,G245,IF(ISBLANK(G245),IF(ISBLANK(G246),T(G245),"ERREUR"),"ERREUR"))</f>
        <v/>
      </c>
      <c r="Q245" s="38" t="str">
        <f>IF(ISNUMBER(H245),IF(INT(H245)=H245,H245,"ERREUR"),IF(ISBLANK(H245),IF(ISBLANK(H246),T(H245),"ERREUR"),"ERREUR"))</f>
        <v/>
      </c>
      <c r="R245" s="38"/>
      <c r="S245" s="38"/>
      <c r="T245" s="38"/>
      <c r="U245" s="38" t="str">
        <f>SUBSTITUTE(SUBSTITUTE(SUBSTITUTE(SUBSTITUTE(SUBSTITUTE(SUBSTITUTE(SUBSTITUTE(SUBSTITUTE(UPPER(S245),"Å","A"),"É","E"),"È","E"),"Ê","E"),"Ë","E"),"Î","I"),"Ï","I"),"Ô","O")</f>
        <v/>
      </c>
      <c r="V245" s="38"/>
      <c r="W245" s="38"/>
      <c r="X245" s="53"/>
      <c r="Y245" s="42"/>
      <c r="Z245" s="42"/>
      <c r="AA245" s="42"/>
    </row>
    <row r="246" ht="13.75" customHeight="1">
      <c r="A246" s="14" t="s">
        <v>140</v>
      </c>
      <c r="B246" s="50"/>
      <c r="C246" s="43"/>
      <c r="D246" s="43"/>
      <c r="E246" s="44"/>
      <c r="F246" s="44"/>
      <c r="G246" s="44"/>
      <c r="H246" s="45"/>
      <c r="I246" s="54"/>
      <c r="J246" s="47" t="str">
        <f>IF(OR(K246="ERREUR",L246="ERREUR",M246="ERREUR",N246="ERREUR",O246="ERREUR",P246="ERREUR",Q246="ERREUR"),"ERREUR",IF(AND(K246="",L246="",M246="",N246="",O246="",P246="",Q246=""),"ligne vide",IF(OR(K246="",L246="",M246="",N246="",O246="",P246="",Q246=""),"ligne incomplète","Valide")))</f>
        <v xml:space="preserve">ligne vide</v>
      </c>
      <c r="K246" s="48" t="str">
        <f>IF(ISBLANK(B246),IF(ISBLANK(B247),T(B246),"ERREUR"),IF(ISNUMBER(B246),_xlfn.NUMBERVALUE(B246),IF(ISTEXT(B246),VALUE(B246),"ERREUR")))</f>
        <v/>
      </c>
      <c r="L246" s="38" t="str">
        <f>IF(COUNTIF($R$4:$R$6,C246)&gt;0,C246,IF(ISBLANK(C246),IF(ISBLANK(D246),T(C246),"ERREUR"),"ERREUR"))</f>
        <v/>
      </c>
      <c r="M246" s="49" t="str">
        <f>IF(ISBLANK(D246),IF(ISBLANK(D247),T(D246),"ERREUR"),IF(COUNTIF($T$4:$T$240,SUBSTITUTE(SUBSTITUTE(SUBSTITUTE(SUBSTITUTE(SUBSTITUTE(SUBSTITUTE(UPPER(D246),"Å","A"),"É","E"),"È","E"),"Ê","E"),"Î","I"),"Ï","I"))&gt;0,D246,IF(ISBLANK(D246),T(D246),"ERREUR")))</f>
        <v/>
      </c>
      <c r="N246" s="38" t="str">
        <f>IF(COUNTIF($V$4:$V$6,E246)&gt;0,E246,IF(ISBLANK(E246),IF(ISBLANK(E247),T(E246),"ERREUR"),"ERREUR"))</f>
        <v/>
      </c>
      <c r="O246" s="38" t="str">
        <f>IF(COUNTIF($W$4:$W$5,F246)&gt;0,F246,IF(ISBLANK(F246),IF(ISBLANK(F247),T(F246),"ERREUR"),"ERREUR"))</f>
        <v/>
      </c>
      <c r="P246" s="38" t="str">
        <f>IF(COUNTIF($X$4:$X$8,G246)&gt;0,G246,IF(ISBLANK(G246),IF(ISBLANK(G247),T(G246),"ERREUR"),"ERREUR"))</f>
        <v/>
      </c>
      <c r="Q246" s="38" t="str">
        <f>IF(ISNUMBER(H246),IF(INT(H246)=H246,H246,"ERREUR"),IF(ISBLANK(H246),IF(ISBLANK(H247),T(H246),"ERREUR"),"ERREUR"))</f>
        <v/>
      </c>
      <c r="R246" s="38"/>
      <c r="S246" s="38"/>
      <c r="T246" s="38"/>
      <c r="U246" s="38" t="str">
        <f>SUBSTITUTE(SUBSTITUTE(SUBSTITUTE(SUBSTITUTE(SUBSTITUTE(SUBSTITUTE(SUBSTITUTE(SUBSTITUTE(UPPER(S246),"Å","A"),"É","E"),"È","E"),"Ê","E"),"Ë","E"),"Î","I"),"Ï","I"),"Ô","O")</f>
        <v/>
      </c>
      <c r="V246" s="38"/>
      <c r="W246" s="38"/>
      <c r="X246" s="53"/>
      <c r="Y246" s="42"/>
      <c r="Z246" s="42"/>
      <c r="AA246" s="42"/>
    </row>
    <row r="247" ht="13.75" customHeight="1">
      <c r="A247" s="14" t="s">
        <v>140</v>
      </c>
      <c r="B247" s="50"/>
      <c r="C247" s="43"/>
      <c r="D247" s="43"/>
      <c r="E247" s="44"/>
      <c r="F247" s="44"/>
      <c r="G247" s="44"/>
      <c r="H247" s="45"/>
      <c r="I247" s="54"/>
      <c r="J247" s="47" t="str">
        <f>IF(OR(K247="ERREUR",L247="ERREUR",M247="ERREUR",N247="ERREUR",O247="ERREUR",P247="ERREUR",Q247="ERREUR"),"ERREUR",IF(AND(K247="",L247="",M247="",N247="",O247="",P247="",Q247=""),"ligne vide",IF(OR(K247="",L247="",M247="",N247="",O247="",P247="",Q247=""),"ligne incomplète","Valide")))</f>
        <v xml:space="preserve">ligne vide</v>
      </c>
      <c r="K247" s="48" t="str">
        <f>IF(ISBLANK(B247),IF(ISBLANK(B248),T(B247),"ERREUR"),IF(ISNUMBER(B247),_xlfn.NUMBERVALUE(B247),IF(ISTEXT(B247),VALUE(B247),"ERREUR")))</f>
        <v/>
      </c>
      <c r="L247" s="38" t="str">
        <f>IF(COUNTIF($R$4:$R$6,C247)&gt;0,C247,IF(ISBLANK(C247),IF(ISBLANK(D247),T(C247),"ERREUR"),"ERREUR"))</f>
        <v/>
      </c>
      <c r="M247" s="49" t="str">
        <f>IF(ISBLANK(D247),IF(ISBLANK(D248),T(D247),"ERREUR"),IF(COUNTIF($T$4:$T$240,SUBSTITUTE(SUBSTITUTE(SUBSTITUTE(SUBSTITUTE(SUBSTITUTE(SUBSTITUTE(UPPER(D247),"Å","A"),"É","E"),"È","E"),"Ê","E"),"Î","I"),"Ï","I"))&gt;0,D247,IF(ISBLANK(D247),T(D247),"ERREUR")))</f>
        <v/>
      </c>
      <c r="N247" s="38" t="str">
        <f>IF(COUNTIF($V$4:$V$6,E247)&gt;0,E247,IF(ISBLANK(E247),IF(ISBLANK(E248),T(E247),"ERREUR"),"ERREUR"))</f>
        <v/>
      </c>
      <c r="O247" s="38" t="str">
        <f>IF(COUNTIF($W$4:$W$5,F247)&gt;0,F247,IF(ISBLANK(F247),IF(ISBLANK(F248),T(F247),"ERREUR"),"ERREUR"))</f>
        <v/>
      </c>
      <c r="P247" s="38" t="str">
        <f>IF(COUNTIF($X$4:$X$8,G247)&gt;0,G247,IF(ISBLANK(G247),IF(ISBLANK(G248),T(G247),"ERREUR"),"ERREUR"))</f>
        <v/>
      </c>
      <c r="Q247" s="38" t="str">
        <f>IF(ISNUMBER(H247),IF(INT(H247)=H247,H247,"ERREUR"),IF(ISBLANK(H247),IF(ISBLANK(H248),T(H247),"ERREUR"),"ERREUR"))</f>
        <v/>
      </c>
      <c r="R247" s="38"/>
      <c r="S247" s="38"/>
      <c r="T247" s="38"/>
      <c r="U247" s="38" t="str">
        <f>SUBSTITUTE(SUBSTITUTE(SUBSTITUTE(SUBSTITUTE(SUBSTITUTE(SUBSTITUTE(SUBSTITUTE(SUBSTITUTE(UPPER(S247),"Å","A"),"É","E"),"È","E"),"Ê","E"),"Ë","E"),"Î","I"),"Ï","I"),"Ô","O")</f>
        <v/>
      </c>
      <c r="V247" s="38"/>
      <c r="W247" s="38"/>
      <c r="X247" s="53"/>
      <c r="Y247" s="42"/>
      <c r="Z247" s="42"/>
      <c r="AA247" s="42"/>
    </row>
    <row r="248" ht="13.75" customHeight="1">
      <c r="A248" s="14" t="s">
        <v>140</v>
      </c>
      <c r="B248" s="50"/>
      <c r="C248" s="43"/>
      <c r="D248" s="43"/>
      <c r="E248" s="44"/>
      <c r="F248" s="44"/>
      <c r="G248" s="44"/>
      <c r="H248" s="45"/>
      <c r="I248" s="54"/>
      <c r="J248" s="47" t="str">
        <f>IF(OR(K248="ERREUR",L248="ERREUR",M248="ERREUR",N248="ERREUR",O248="ERREUR",P248="ERREUR",Q248="ERREUR"),"ERREUR",IF(AND(K248="",L248="",M248="",N248="",O248="",P248="",Q248=""),"ligne vide",IF(OR(K248="",L248="",M248="",N248="",O248="",P248="",Q248=""),"ligne incomplète","Valide")))</f>
        <v xml:space="preserve">ligne vide</v>
      </c>
      <c r="K248" s="48" t="str">
        <f>IF(ISBLANK(B248),IF(ISBLANK(B249),T(B248),"ERREUR"),IF(ISNUMBER(B248),_xlfn.NUMBERVALUE(B248),IF(ISTEXT(B248),VALUE(B248),"ERREUR")))</f>
        <v/>
      </c>
      <c r="L248" s="38" t="str">
        <f>IF(COUNTIF($R$4:$R$6,C248)&gt;0,C248,IF(ISBLANK(C248),IF(ISBLANK(D248),T(C248),"ERREUR"),"ERREUR"))</f>
        <v/>
      </c>
      <c r="M248" s="49" t="str">
        <f>IF(ISBLANK(D248),IF(ISBLANK(D249),T(D248),"ERREUR"),IF(COUNTIF($T$4:$T$240,SUBSTITUTE(SUBSTITUTE(SUBSTITUTE(SUBSTITUTE(SUBSTITUTE(SUBSTITUTE(UPPER(D248),"Å","A"),"É","E"),"È","E"),"Ê","E"),"Î","I"),"Ï","I"))&gt;0,D248,IF(ISBLANK(D248),T(D248),"ERREUR")))</f>
        <v/>
      </c>
      <c r="N248" s="38" t="str">
        <f>IF(COUNTIF($V$4:$V$6,E248)&gt;0,E248,IF(ISBLANK(E248),IF(ISBLANK(E249),T(E248),"ERREUR"),"ERREUR"))</f>
        <v/>
      </c>
      <c r="O248" s="38" t="str">
        <f>IF(COUNTIF($W$4:$W$5,F248)&gt;0,F248,IF(ISBLANK(F248),IF(ISBLANK(F249),T(F248),"ERREUR"),"ERREUR"))</f>
        <v/>
      </c>
      <c r="P248" s="38" t="str">
        <f>IF(COUNTIF($X$4:$X$8,G248)&gt;0,G248,IF(ISBLANK(G248),IF(ISBLANK(G249),T(G248),"ERREUR"),"ERREUR"))</f>
        <v/>
      </c>
      <c r="Q248" s="38" t="str">
        <f>IF(ISNUMBER(H248),IF(INT(H248)=H248,H248,"ERREUR"),IF(ISBLANK(H248),IF(ISBLANK(H249),T(H248),"ERREUR"),"ERREUR"))</f>
        <v/>
      </c>
      <c r="R248" s="38"/>
      <c r="S248" s="38"/>
      <c r="T248" s="38"/>
      <c r="U248" s="38" t="str">
        <f>SUBSTITUTE(SUBSTITUTE(SUBSTITUTE(SUBSTITUTE(SUBSTITUTE(SUBSTITUTE(SUBSTITUTE(SUBSTITUTE(UPPER(S248),"Å","A"),"É","E"),"È","E"),"Ê","E"),"Ë","E"),"Î","I"),"Ï","I"),"Ô","O")</f>
        <v/>
      </c>
      <c r="V248" s="38"/>
      <c r="W248" s="38"/>
      <c r="X248" s="53"/>
      <c r="Y248" s="42"/>
      <c r="Z248" s="42"/>
      <c r="AA248" s="42"/>
    </row>
    <row r="249" ht="13.75" customHeight="1">
      <c r="A249" s="14" t="s">
        <v>140</v>
      </c>
      <c r="B249" s="50"/>
      <c r="C249" s="43"/>
      <c r="D249" s="43"/>
      <c r="E249" s="44"/>
      <c r="F249" s="44"/>
      <c r="G249" s="44"/>
      <c r="H249" s="45"/>
      <c r="I249" s="54"/>
      <c r="J249" s="47" t="str">
        <f>IF(OR(K249="ERREUR",L249="ERREUR",M249="ERREUR",N249="ERREUR",O249="ERREUR",P249="ERREUR",Q249="ERREUR"),"ERREUR",IF(AND(K249="",L249="",M249="",N249="",O249="",P249="",Q249=""),"ligne vide",IF(OR(K249="",L249="",M249="",N249="",O249="",P249="",Q249=""),"ligne incomplète","Valide")))</f>
        <v xml:space="preserve">ligne vide</v>
      </c>
      <c r="K249" s="48" t="str">
        <f>IF(ISBLANK(B249),IF(ISBLANK(B250),T(B249),"ERREUR"),IF(ISNUMBER(B249),_xlfn.NUMBERVALUE(B249),IF(ISTEXT(B249),VALUE(B249),"ERREUR")))</f>
        <v/>
      </c>
      <c r="L249" s="38" t="str">
        <f>IF(COUNTIF($R$4:$R$6,C249)&gt;0,C249,IF(ISBLANK(C249),IF(ISBLANK(D249),T(C249),"ERREUR"),"ERREUR"))</f>
        <v/>
      </c>
      <c r="M249" s="49" t="str">
        <f>IF(ISBLANK(D249),IF(ISBLANK(D250),T(D249),"ERREUR"),IF(COUNTIF($T$4:$T$240,SUBSTITUTE(SUBSTITUTE(SUBSTITUTE(SUBSTITUTE(SUBSTITUTE(SUBSTITUTE(UPPER(D249),"Å","A"),"É","E"),"È","E"),"Ê","E"),"Î","I"),"Ï","I"))&gt;0,D249,IF(ISBLANK(D249),T(D249),"ERREUR")))</f>
        <v/>
      </c>
      <c r="N249" s="38" t="str">
        <f>IF(COUNTIF($V$4:$V$6,E249)&gt;0,E249,IF(ISBLANK(E249),IF(ISBLANK(E250),T(E249),"ERREUR"),"ERREUR"))</f>
        <v/>
      </c>
      <c r="O249" s="38" t="str">
        <f>IF(COUNTIF($W$4:$W$5,F249)&gt;0,F249,IF(ISBLANK(F249),IF(ISBLANK(F250),T(F249),"ERREUR"),"ERREUR"))</f>
        <v/>
      </c>
      <c r="P249" s="38" t="str">
        <f>IF(COUNTIF($X$4:$X$8,G249)&gt;0,G249,IF(ISBLANK(G249),IF(ISBLANK(G250),T(G249),"ERREUR"),"ERREUR"))</f>
        <v/>
      </c>
      <c r="Q249" s="38" t="str">
        <f>IF(ISNUMBER(H249),IF(INT(H249)=H249,H249,"ERREUR"),IF(ISBLANK(H249),IF(ISBLANK(H250),T(H249),"ERREUR"),"ERREUR"))</f>
        <v/>
      </c>
      <c r="R249" s="38"/>
      <c r="S249" s="38"/>
      <c r="T249" s="38"/>
      <c r="U249" s="38" t="str">
        <f>SUBSTITUTE(SUBSTITUTE(SUBSTITUTE(SUBSTITUTE(SUBSTITUTE(SUBSTITUTE(SUBSTITUTE(SUBSTITUTE(UPPER(S249),"Å","A"),"É","E"),"È","E"),"Ê","E"),"Ë","E"),"Î","I"),"Ï","I"),"Ô","O")</f>
        <v/>
      </c>
      <c r="V249" s="38"/>
      <c r="W249" s="38"/>
      <c r="X249" s="53"/>
      <c r="Y249" s="42"/>
      <c r="Z249" s="42"/>
      <c r="AA249" s="42"/>
    </row>
    <row r="250" ht="13.75" customHeight="1">
      <c r="A250" s="14" t="s">
        <v>140</v>
      </c>
      <c r="B250" s="50"/>
      <c r="C250" s="43"/>
      <c r="D250" s="43"/>
      <c r="E250" s="44"/>
      <c r="F250" s="44"/>
      <c r="G250" s="44"/>
      <c r="H250" s="45"/>
      <c r="I250" s="54"/>
      <c r="J250" s="47" t="str">
        <f>IF(OR(K250="ERREUR",L250="ERREUR",M250="ERREUR",N250="ERREUR",O250="ERREUR",P250="ERREUR",Q250="ERREUR"),"ERREUR",IF(AND(K250="",L250="",M250="",N250="",O250="",P250="",Q250=""),"ligne vide",IF(OR(K250="",L250="",M250="",N250="",O250="",P250="",Q250=""),"ligne incomplète","Valide")))</f>
        <v xml:space="preserve">ligne vide</v>
      </c>
      <c r="K250" s="48" t="str">
        <f>IF(ISBLANK(B250),IF(ISBLANK(B251),T(B250),"ERREUR"),IF(ISNUMBER(B250),_xlfn.NUMBERVALUE(B250),IF(ISTEXT(B250),VALUE(B250),"ERREUR")))</f>
        <v/>
      </c>
      <c r="L250" s="38" t="str">
        <f>IF(COUNTIF($R$4:$R$6,C250)&gt;0,C250,IF(ISBLANK(C250),IF(ISBLANK(D250),T(C250),"ERREUR"),"ERREUR"))</f>
        <v/>
      </c>
      <c r="M250" s="49" t="str">
        <f>IF(ISBLANK(D250),IF(ISBLANK(D251),T(D250),"ERREUR"),IF(COUNTIF($T$4:$T$240,SUBSTITUTE(SUBSTITUTE(SUBSTITUTE(SUBSTITUTE(SUBSTITUTE(SUBSTITUTE(UPPER(D250),"Å","A"),"É","E"),"È","E"),"Ê","E"),"Î","I"),"Ï","I"))&gt;0,D250,IF(ISBLANK(D250),T(D250),"ERREUR")))</f>
        <v/>
      </c>
      <c r="N250" s="38" t="str">
        <f>IF(COUNTIF($V$4:$V$6,E250)&gt;0,E250,IF(ISBLANK(E250),IF(ISBLANK(E251),T(E250),"ERREUR"),"ERREUR"))</f>
        <v/>
      </c>
      <c r="O250" s="38" t="str">
        <f>IF(COUNTIF($W$4:$W$5,F250)&gt;0,F250,IF(ISBLANK(F250),IF(ISBLANK(F251),T(F250),"ERREUR"),"ERREUR"))</f>
        <v/>
      </c>
      <c r="P250" s="38" t="str">
        <f>IF(COUNTIF($X$4:$X$8,G250)&gt;0,G250,IF(ISBLANK(G250),IF(ISBLANK(G251),T(G250),"ERREUR"),"ERREUR"))</f>
        <v/>
      </c>
      <c r="Q250" s="38" t="str">
        <f>IF(ISNUMBER(H250),IF(INT(H250)=H250,H250,"ERREUR"),IF(ISBLANK(H250),IF(ISBLANK(H251),T(H250),"ERREUR"),"ERREUR"))</f>
        <v/>
      </c>
      <c r="R250" s="38"/>
      <c r="S250" s="38"/>
      <c r="T250" s="38"/>
      <c r="U250" s="38" t="str">
        <f>SUBSTITUTE(SUBSTITUTE(SUBSTITUTE(SUBSTITUTE(SUBSTITUTE(SUBSTITUTE(SUBSTITUTE(SUBSTITUTE(UPPER(S250),"Å","A"),"É","E"),"È","E"),"Ê","E"),"Ë","E"),"Î","I"),"Ï","I"),"Ô","O")</f>
        <v/>
      </c>
      <c r="V250" s="38"/>
      <c r="W250" s="38"/>
      <c r="X250" s="53"/>
      <c r="Y250" s="42"/>
      <c r="Z250" s="42"/>
      <c r="AA250" s="42"/>
    </row>
    <row r="251" ht="13.75" customHeight="1">
      <c r="A251" s="14" t="s">
        <v>140</v>
      </c>
      <c r="B251" s="50"/>
      <c r="C251" s="43"/>
      <c r="D251" s="43"/>
      <c r="E251" s="44"/>
      <c r="F251" s="44"/>
      <c r="G251" s="44"/>
      <c r="H251" s="45"/>
      <c r="I251" s="54"/>
      <c r="J251" s="47" t="str">
        <f>IF(OR(K251="ERREUR",L251="ERREUR",M251="ERREUR",N251="ERREUR",O251="ERREUR",P251="ERREUR",Q251="ERREUR"),"ERREUR",IF(AND(K251="",L251="",M251="",N251="",O251="",P251="",Q251=""),"ligne vide",IF(OR(K251="",L251="",M251="",N251="",O251="",P251="",Q251=""),"ligne incomplète","Valide")))</f>
        <v xml:space="preserve">ligne vide</v>
      </c>
      <c r="K251" s="48" t="str">
        <f>IF(ISBLANK(B251),IF(ISBLANK(B252),T(B251),"ERREUR"),IF(ISNUMBER(B251),_xlfn.NUMBERVALUE(B251),IF(ISTEXT(B251),VALUE(B251),"ERREUR")))</f>
        <v/>
      </c>
      <c r="L251" s="38" t="str">
        <f>IF(COUNTIF($R$4:$R$6,C251)&gt;0,C251,IF(ISBLANK(C251),IF(ISBLANK(D251),T(C251),"ERREUR"),"ERREUR"))</f>
        <v/>
      </c>
      <c r="M251" s="49" t="str">
        <f>IF(ISBLANK(D251),IF(ISBLANK(D252),T(D251),"ERREUR"),IF(COUNTIF($T$4:$T$240,SUBSTITUTE(SUBSTITUTE(SUBSTITUTE(SUBSTITUTE(SUBSTITUTE(SUBSTITUTE(UPPER(D251),"Å","A"),"É","E"),"È","E"),"Ê","E"),"Î","I"),"Ï","I"))&gt;0,D251,IF(ISBLANK(D251),T(D251),"ERREUR")))</f>
        <v/>
      </c>
      <c r="N251" s="38" t="str">
        <f>IF(COUNTIF($V$4:$V$6,E251)&gt;0,E251,IF(ISBLANK(E251),IF(ISBLANK(E252),T(E251),"ERREUR"),"ERREUR"))</f>
        <v/>
      </c>
      <c r="O251" s="38" t="str">
        <f>IF(COUNTIF($W$4:$W$5,F251)&gt;0,F251,IF(ISBLANK(F251),IF(ISBLANK(F252),T(F251),"ERREUR"),"ERREUR"))</f>
        <v/>
      </c>
      <c r="P251" s="38" t="str">
        <f>IF(COUNTIF($X$4:$X$8,G251)&gt;0,G251,IF(ISBLANK(G251),IF(ISBLANK(G252),T(G251),"ERREUR"),"ERREUR"))</f>
        <v/>
      </c>
      <c r="Q251" s="38" t="str">
        <f>IF(ISNUMBER(H251),IF(INT(H251)=H251,H251,"ERREUR"),IF(ISBLANK(H251),IF(ISBLANK(H252),T(H251),"ERREUR"),"ERREUR"))</f>
        <v/>
      </c>
      <c r="R251" s="38"/>
      <c r="S251" s="38"/>
      <c r="T251" s="38"/>
      <c r="U251" s="38" t="str">
        <f>SUBSTITUTE(SUBSTITUTE(SUBSTITUTE(SUBSTITUTE(SUBSTITUTE(SUBSTITUTE(SUBSTITUTE(SUBSTITUTE(UPPER(S251),"Å","A"),"É","E"),"È","E"),"Ê","E"),"Ë","E"),"Î","I"),"Ï","I"),"Ô","O")</f>
        <v/>
      </c>
      <c r="V251" s="38"/>
      <c r="W251" s="38"/>
      <c r="X251" s="53"/>
      <c r="Y251" s="42"/>
      <c r="Z251" s="42"/>
      <c r="AA251" s="42"/>
    </row>
    <row r="252" ht="13.75" customHeight="1">
      <c r="A252" s="14" t="s">
        <v>140</v>
      </c>
      <c r="B252" s="50"/>
      <c r="C252" s="43"/>
      <c r="D252" s="43"/>
      <c r="E252" s="44"/>
      <c r="F252" s="44"/>
      <c r="G252" s="44"/>
      <c r="H252" s="45"/>
      <c r="I252" s="54"/>
      <c r="J252" s="47" t="str">
        <f>IF(OR(K252="ERREUR",L252="ERREUR",M252="ERREUR",N252="ERREUR",O252="ERREUR",P252="ERREUR",Q252="ERREUR"),"ERREUR",IF(AND(K252="",L252="",M252="",N252="",O252="",P252="",Q252=""),"ligne vide",IF(OR(K252="",L252="",M252="",N252="",O252="",P252="",Q252=""),"ligne incomplète","Valide")))</f>
        <v xml:space="preserve">ligne vide</v>
      </c>
      <c r="K252" s="48" t="str">
        <f>IF(ISBLANK(B252),IF(ISBLANK(B253),T(B252),"ERREUR"),IF(ISNUMBER(B252),_xlfn.NUMBERVALUE(B252),IF(ISTEXT(B252),VALUE(B252),"ERREUR")))</f>
        <v/>
      </c>
      <c r="L252" s="38" t="str">
        <f>IF(COUNTIF($R$4:$R$6,C252)&gt;0,C252,IF(ISBLANK(C252),IF(ISBLANK(D252),T(C252),"ERREUR"),"ERREUR"))</f>
        <v/>
      </c>
      <c r="M252" s="49" t="str">
        <f>IF(ISBLANK(D252),IF(ISBLANK(D253),T(D252),"ERREUR"),IF(COUNTIF($T$4:$T$240,SUBSTITUTE(SUBSTITUTE(SUBSTITUTE(SUBSTITUTE(SUBSTITUTE(SUBSTITUTE(UPPER(D252),"Å","A"),"É","E"),"È","E"),"Ê","E"),"Î","I"),"Ï","I"))&gt;0,D252,IF(ISBLANK(D252),T(D252),"ERREUR")))</f>
        <v/>
      </c>
      <c r="N252" s="38" t="str">
        <f>IF(COUNTIF($V$4:$V$6,E252)&gt;0,E252,IF(ISBLANK(E252),IF(ISBLANK(E253),T(E252),"ERREUR"),"ERREUR"))</f>
        <v/>
      </c>
      <c r="O252" s="38" t="str">
        <f>IF(COUNTIF($W$4:$W$5,F252)&gt;0,F252,IF(ISBLANK(F252),IF(ISBLANK(F253),T(F252),"ERREUR"),"ERREUR"))</f>
        <v/>
      </c>
      <c r="P252" s="38" t="str">
        <f>IF(COUNTIF($X$4:$X$8,G252)&gt;0,G252,IF(ISBLANK(G252),IF(ISBLANK(G253),T(G252),"ERREUR"),"ERREUR"))</f>
        <v/>
      </c>
      <c r="Q252" s="38" t="str">
        <f>IF(ISNUMBER(H252),IF(INT(H252)=H252,H252,"ERREUR"),IF(ISBLANK(H252),IF(ISBLANK(H253),T(H252),"ERREUR"),"ERREUR"))</f>
        <v/>
      </c>
      <c r="R252" s="38"/>
      <c r="S252" s="38"/>
      <c r="T252" s="38"/>
      <c r="U252" s="38" t="str">
        <f>SUBSTITUTE(SUBSTITUTE(SUBSTITUTE(SUBSTITUTE(SUBSTITUTE(SUBSTITUTE(SUBSTITUTE(SUBSTITUTE(UPPER(S252),"Å","A"),"É","E"),"È","E"),"Ê","E"),"Ë","E"),"Î","I"),"Ï","I"),"Ô","O")</f>
        <v/>
      </c>
      <c r="V252" s="38"/>
      <c r="W252" s="38"/>
      <c r="X252" s="53"/>
      <c r="Y252" s="42"/>
      <c r="Z252" s="42"/>
      <c r="AA252" s="42"/>
    </row>
    <row r="253" ht="13.75" customHeight="1">
      <c r="A253" s="14" t="s">
        <v>140</v>
      </c>
      <c r="B253" s="50"/>
      <c r="C253" s="43"/>
      <c r="D253" s="43"/>
      <c r="E253" s="44"/>
      <c r="F253" s="44"/>
      <c r="G253" s="44"/>
      <c r="H253" s="45"/>
      <c r="I253" s="54"/>
      <c r="J253" s="47" t="str">
        <f>IF(OR(K253="ERREUR",L253="ERREUR",M253="ERREUR",N253="ERREUR",O253="ERREUR",P253="ERREUR",Q253="ERREUR"),"ERREUR",IF(AND(K253="",L253="",M253="",N253="",O253="",P253="",Q253=""),"ligne vide",IF(OR(K253="",L253="",M253="",N253="",O253="",P253="",Q253=""),"ligne incomplète","Valide")))</f>
        <v xml:space="preserve">ligne vide</v>
      </c>
      <c r="K253" s="48" t="str">
        <f>IF(ISBLANK(B253),IF(ISBLANK(B254),T(B253),"ERREUR"),IF(ISNUMBER(B253),_xlfn.NUMBERVALUE(B253),IF(ISTEXT(B253),VALUE(B253),"ERREUR")))</f>
        <v/>
      </c>
      <c r="L253" s="38" t="str">
        <f>IF(COUNTIF($R$4:$R$6,C253)&gt;0,C253,IF(ISBLANK(C253),IF(ISBLANK(D253),T(C253),"ERREUR"),"ERREUR"))</f>
        <v/>
      </c>
      <c r="M253" s="49" t="str">
        <f>IF(ISBLANK(D253),IF(ISBLANK(D254),T(D253),"ERREUR"),IF(COUNTIF($T$4:$T$240,SUBSTITUTE(SUBSTITUTE(SUBSTITUTE(SUBSTITUTE(SUBSTITUTE(SUBSTITUTE(UPPER(D253),"Å","A"),"É","E"),"È","E"),"Ê","E"),"Î","I"),"Ï","I"))&gt;0,D253,IF(ISBLANK(D253),T(D253),"ERREUR")))</f>
        <v/>
      </c>
      <c r="N253" s="38" t="str">
        <f>IF(COUNTIF($V$4:$V$6,E253)&gt;0,E253,IF(ISBLANK(E253),IF(ISBLANK(E254),T(E253),"ERREUR"),"ERREUR"))</f>
        <v/>
      </c>
      <c r="O253" s="38" t="str">
        <f>IF(COUNTIF($W$4:$W$5,F253)&gt;0,F253,IF(ISBLANK(F253),IF(ISBLANK(F254),T(F253),"ERREUR"),"ERREUR"))</f>
        <v/>
      </c>
      <c r="P253" s="38" t="str">
        <f>IF(COUNTIF($X$4:$X$8,G253)&gt;0,G253,IF(ISBLANK(G253),IF(ISBLANK(G254),T(G253),"ERREUR"),"ERREUR"))</f>
        <v/>
      </c>
      <c r="Q253" s="38" t="str">
        <f>IF(ISNUMBER(H253),IF(INT(H253)=H253,H253,"ERREUR"),IF(ISBLANK(H253),IF(ISBLANK(H254),T(H253),"ERREUR"),"ERREUR"))</f>
        <v/>
      </c>
      <c r="R253" s="38"/>
      <c r="S253" s="38"/>
      <c r="T253" s="38"/>
      <c r="U253" s="39" t="str">
        <f>SUBSTITUTE(SUBSTITUTE(SUBSTITUTE(SUBSTITUTE(SUBSTITUTE(SUBSTITUTE(UPPER(S253),"Å","A"),"É","E"),"È","E"),"Ê","E"),"Î","I"),"Ï","I")</f>
        <v/>
      </c>
      <c r="V253" s="38"/>
      <c r="W253" s="38"/>
      <c r="X253" s="53"/>
      <c r="Y253" s="42"/>
      <c r="Z253" s="42"/>
      <c r="AA253" s="42"/>
    </row>
    <row r="254" ht="13.75" customHeight="1">
      <c r="A254" s="14" t="s">
        <v>140</v>
      </c>
      <c r="B254" s="50"/>
      <c r="C254" s="43"/>
      <c r="D254" s="43"/>
      <c r="E254" s="44"/>
      <c r="F254" s="44"/>
      <c r="G254" s="44"/>
      <c r="H254" s="45"/>
      <c r="I254" s="54"/>
      <c r="J254" s="47" t="str">
        <f>IF(OR(K254="ERREUR",L254="ERREUR",M254="ERREUR",N254="ERREUR",O254="ERREUR",P254="ERREUR",Q254="ERREUR"),"ERREUR",IF(AND(K254="",L254="",M254="",N254="",O254="",P254="",Q254=""),"ligne vide",IF(OR(K254="",L254="",M254="",N254="",O254="",P254="",Q254=""),"ligne incomplète","Valide")))</f>
        <v xml:space="preserve">ligne vide</v>
      </c>
      <c r="K254" s="48" t="str">
        <f>IF(ISBLANK(B254),IF(ISBLANK(B255),T(B254),"ERREUR"),IF(ISNUMBER(B254),_xlfn.NUMBERVALUE(B254),IF(ISTEXT(B254),VALUE(B254),"ERREUR")))</f>
        <v/>
      </c>
      <c r="L254" s="38" t="str">
        <f>IF(COUNTIF($R$4:$R$6,C254)&gt;0,C254,IF(ISBLANK(C254),IF(ISBLANK(D254),T(C254),"ERREUR"),"ERREUR"))</f>
        <v/>
      </c>
      <c r="M254" s="49" t="str">
        <f>IF(ISBLANK(D254),IF(ISBLANK(D255),T(D254),"ERREUR"),IF(COUNTIF($T$4:$T$240,SUBSTITUTE(SUBSTITUTE(SUBSTITUTE(SUBSTITUTE(SUBSTITUTE(SUBSTITUTE(UPPER(D254),"Å","A"),"É","E"),"È","E"),"Ê","E"),"Î","I"),"Ï","I"))&gt;0,D254,IF(ISBLANK(D254),T(D254),"ERREUR")))</f>
        <v/>
      </c>
      <c r="N254" s="38" t="str">
        <f>IF(COUNTIF($V$4:$V$6,E254)&gt;0,E254,IF(ISBLANK(E254),IF(ISBLANK(E255),T(E254),"ERREUR"),"ERREUR"))</f>
        <v/>
      </c>
      <c r="O254" s="38" t="str">
        <f>IF(COUNTIF($W$4:$W$5,F254)&gt;0,F254,IF(ISBLANK(F254),IF(ISBLANK(F255),T(F254),"ERREUR"),"ERREUR"))</f>
        <v/>
      </c>
      <c r="P254" s="38" t="str">
        <f>IF(COUNTIF($X$4:$X$8,G254)&gt;0,G254,IF(ISBLANK(G254),IF(ISBLANK(G255),T(G254),"ERREUR"),"ERREUR"))</f>
        <v/>
      </c>
      <c r="Q254" s="38" t="str">
        <f>IF(ISNUMBER(H254),IF(INT(H254)=H254,H254,"ERREUR"),IF(ISBLANK(H254),IF(ISBLANK(H255),T(H254),"ERREUR"),"ERREUR"))</f>
        <v/>
      </c>
      <c r="R254" s="38"/>
      <c r="S254" s="38"/>
      <c r="T254" s="38"/>
      <c r="U254" s="39" t="str">
        <f>SUBSTITUTE(SUBSTITUTE(SUBSTITUTE(SUBSTITUTE(SUBSTITUTE(SUBSTITUTE(UPPER(S254),"Å","A"),"É","E"),"È","E"),"Ê","E"),"Î","I"),"Ï","I")</f>
        <v/>
      </c>
      <c r="V254" s="38"/>
      <c r="W254" s="38"/>
      <c r="X254" s="53"/>
      <c r="Y254" s="42"/>
      <c r="Z254" s="42"/>
      <c r="AA254" s="42"/>
    </row>
    <row r="255" ht="13.75" customHeight="1">
      <c r="A255" s="14" t="s">
        <v>140</v>
      </c>
      <c r="B255" s="50"/>
      <c r="C255" s="43"/>
      <c r="D255" s="43"/>
      <c r="E255" s="44"/>
      <c r="F255" s="44"/>
      <c r="G255" s="44"/>
      <c r="H255" s="45"/>
      <c r="I255" s="54"/>
      <c r="J255" s="47" t="str">
        <f>IF(OR(K255="ERREUR",L255="ERREUR",M255="ERREUR",N255="ERREUR",O255="ERREUR",P255="ERREUR",Q255="ERREUR"),"ERREUR",IF(AND(K255="",L255="",M255="",N255="",O255="",P255="",Q255=""),"ligne vide",IF(OR(K255="",L255="",M255="",N255="",O255="",P255="",Q255=""),"ligne incomplète","Valide")))</f>
        <v xml:space="preserve">ligne vide</v>
      </c>
      <c r="K255" s="48" t="str">
        <f>IF(ISBLANK(B255),IF(ISBLANK(B256),T(B255),"ERREUR"),IF(ISNUMBER(B255),_xlfn.NUMBERVALUE(B255),IF(ISTEXT(B255),VALUE(B255),"ERREUR")))</f>
        <v/>
      </c>
      <c r="L255" s="38" t="str">
        <f>IF(COUNTIF($R$4:$R$6,C255)&gt;0,C255,IF(ISBLANK(C255),IF(ISBLANK(D255),T(C255),"ERREUR"),"ERREUR"))</f>
        <v/>
      </c>
      <c r="M255" s="49" t="str">
        <f>IF(ISBLANK(D255),IF(ISBLANK(D256),T(D255),"ERREUR"),IF(COUNTIF($T$4:$T$240,SUBSTITUTE(SUBSTITUTE(SUBSTITUTE(SUBSTITUTE(SUBSTITUTE(SUBSTITUTE(UPPER(D255),"Å","A"),"É","E"),"È","E"),"Ê","E"),"Î","I"),"Ï","I"))&gt;0,D255,IF(ISBLANK(D255),T(D255),"ERREUR")))</f>
        <v/>
      </c>
      <c r="N255" s="38" t="str">
        <f>IF(COUNTIF($V$4:$V$6,E255)&gt;0,E255,IF(ISBLANK(E255),IF(ISBLANK(E256),T(E255),"ERREUR"),"ERREUR"))</f>
        <v/>
      </c>
      <c r="O255" s="38" t="str">
        <f>IF(COUNTIF($W$4:$W$5,F255)&gt;0,F255,IF(ISBLANK(F255),IF(ISBLANK(F256),T(F255),"ERREUR"),"ERREUR"))</f>
        <v/>
      </c>
      <c r="P255" s="38" t="str">
        <f>IF(COUNTIF($X$4:$X$8,G255)&gt;0,G255,IF(ISBLANK(G255),IF(ISBLANK(G256),T(G255),"ERREUR"),"ERREUR"))</f>
        <v/>
      </c>
      <c r="Q255" s="38" t="str">
        <f>IF(ISNUMBER(H255),IF(INT(H255)=H255,H255,"ERREUR"),IF(ISBLANK(H255),IF(ISBLANK(H256),T(H255),"ERREUR"),"ERREUR"))</f>
        <v/>
      </c>
      <c r="R255" s="38"/>
      <c r="S255" s="38"/>
      <c r="T255" s="38"/>
      <c r="U255" s="39" t="str">
        <f>SUBSTITUTE(SUBSTITUTE(SUBSTITUTE(SUBSTITUTE(SUBSTITUTE(SUBSTITUTE(UPPER(S255),"Å","A"),"É","E"),"È","E"),"Ê","E"),"Î","I"),"Ï","I")</f>
        <v/>
      </c>
      <c r="V255" s="38"/>
      <c r="W255" s="38"/>
      <c r="X255" s="53"/>
      <c r="Y255" s="42"/>
      <c r="Z255" s="42"/>
      <c r="AA255" s="42"/>
    </row>
    <row r="256" ht="13.75" customHeight="1">
      <c r="A256" s="14" t="s">
        <v>140</v>
      </c>
      <c r="B256" s="50"/>
      <c r="C256" s="43"/>
      <c r="D256" s="43"/>
      <c r="E256" s="44"/>
      <c r="F256" s="44"/>
      <c r="G256" s="44"/>
      <c r="H256" s="45"/>
      <c r="I256" s="54"/>
      <c r="J256" s="47" t="str">
        <f>IF(OR(K256="ERREUR",L256="ERREUR",M256="ERREUR",N256="ERREUR",O256="ERREUR",P256="ERREUR",Q256="ERREUR"),"ERREUR",IF(AND(K256="",L256="",M256="",N256="",O256="",P256="",Q256=""),"ligne vide",IF(OR(K256="",L256="",M256="",N256="",O256="",P256="",Q256=""),"ligne incomplète","Valide")))</f>
        <v xml:space="preserve">ligne vide</v>
      </c>
      <c r="K256" s="48" t="str">
        <f>IF(ISBLANK(B256),IF(ISBLANK(B257),T(B256),"ERREUR"),IF(ISNUMBER(B256),_xlfn.NUMBERVALUE(B256),IF(ISTEXT(B256),VALUE(B256),"ERREUR")))</f>
        <v/>
      </c>
      <c r="L256" s="38" t="str">
        <f>IF(COUNTIF($R$4:$R$6,C256)&gt;0,C256,IF(ISBLANK(C256),IF(ISBLANK(D256),T(C256),"ERREUR"),"ERREUR"))</f>
        <v/>
      </c>
      <c r="M256" s="49" t="str">
        <f>IF(ISBLANK(D256),IF(ISBLANK(D257),T(D256),"ERREUR"),IF(COUNTIF($T$4:$T$240,SUBSTITUTE(SUBSTITUTE(SUBSTITUTE(SUBSTITUTE(SUBSTITUTE(SUBSTITUTE(UPPER(D256),"Å","A"),"É","E"),"È","E"),"Ê","E"),"Î","I"),"Ï","I"))&gt;0,D256,IF(ISBLANK(D256),T(D256),"ERREUR")))</f>
        <v/>
      </c>
      <c r="N256" s="38" t="str">
        <f>IF(COUNTIF($V$4:$V$6,E256)&gt;0,E256,IF(ISBLANK(E256),IF(ISBLANK(E257),T(E256),"ERREUR"),"ERREUR"))</f>
        <v/>
      </c>
      <c r="O256" s="38" t="str">
        <f>IF(COUNTIF($W$4:$W$5,F256)&gt;0,F256,IF(ISBLANK(F256),IF(ISBLANK(F257),T(F256),"ERREUR"),"ERREUR"))</f>
        <v/>
      </c>
      <c r="P256" s="38" t="str">
        <f>IF(COUNTIF($X$4:$X$8,G256)&gt;0,G256,IF(ISBLANK(G256),IF(ISBLANK(G257),T(G256),"ERREUR"),"ERREUR"))</f>
        <v/>
      </c>
      <c r="Q256" s="38" t="str">
        <f>IF(ISNUMBER(H256),IF(INT(H256)=H256,H256,"ERREUR"),IF(ISBLANK(H256),IF(ISBLANK(H257),T(H256),"ERREUR"),"ERREUR"))</f>
        <v/>
      </c>
      <c r="R256" s="38"/>
      <c r="S256" s="38"/>
      <c r="T256" s="38"/>
      <c r="U256" s="39" t="str">
        <f>SUBSTITUTE(SUBSTITUTE(SUBSTITUTE(SUBSTITUTE(SUBSTITUTE(SUBSTITUTE(UPPER(S256),"Å","A"),"É","E"),"È","E"),"Ê","E"),"Î","I"),"Ï","I")</f>
        <v/>
      </c>
      <c r="V256" s="38"/>
      <c r="W256" s="38"/>
      <c r="X256" s="53"/>
      <c r="Y256" s="42"/>
      <c r="Z256" s="42"/>
      <c r="AA256" s="42"/>
    </row>
    <row r="257" ht="13.75" customHeight="1">
      <c r="A257" s="14" t="s">
        <v>140</v>
      </c>
      <c r="B257" s="50"/>
      <c r="C257" s="43"/>
      <c r="D257" s="43"/>
      <c r="E257" s="44"/>
      <c r="F257" s="44"/>
      <c r="G257" s="44"/>
      <c r="H257" s="45"/>
      <c r="I257" s="54"/>
      <c r="J257" s="47" t="str">
        <f>IF(OR(K257="ERREUR",L257="ERREUR",M257="ERREUR",N257="ERREUR",O257="ERREUR",P257="ERREUR",Q257="ERREUR"),"ERREUR",IF(AND(K257="",L257="",M257="",N257="",O257="",P257="",Q257=""),"ligne vide",IF(OR(K257="",L257="",M257="",N257="",O257="",P257="",Q257=""),"ligne incomplète","Valide")))</f>
        <v xml:space="preserve">ligne vide</v>
      </c>
      <c r="K257" s="48" t="str">
        <f>IF(ISBLANK(B257),IF(ISBLANK(B258),T(B257),"ERREUR"),IF(ISNUMBER(B257),_xlfn.NUMBERVALUE(B257),IF(ISTEXT(B257),VALUE(B257),"ERREUR")))</f>
        <v/>
      </c>
      <c r="L257" s="38" t="str">
        <f>IF(COUNTIF($R$4:$R$6,C257)&gt;0,C257,IF(ISBLANK(C257),IF(ISBLANK(D257),T(C257),"ERREUR"),"ERREUR"))</f>
        <v/>
      </c>
      <c r="M257" s="49" t="str">
        <f>IF(ISBLANK(D257),IF(ISBLANK(D258),T(D257),"ERREUR"),IF(COUNTIF($T$4:$T$240,SUBSTITUTE(SUBSTITUTE(SUBSTITUTE(SUBSTITUTE(SUBSTITUTE(SUBSTITUTE(UPPER(D257),"Å","A"),"É","E"),"È","E"),"Ê","E"),"Î","I"),"Ï","I"))&gt;0,D257,IF(ISBLANK(D257),T(D257),"ERREUR")))</f>
        <v/>
      </c>
      <c r="N257" s="38" t="str">
        <f>IF(COUNTIF($V$4:$V$6,E257)&gt;0,E257,IF(ISBLANK(E257),IF(ISBLANK(E258),T(E257),"ERREUR"),"ERREUR"))</f>
        <v/>
      </c>
      <c r="O257" s="38" t="str">
        <f>IF(COUNTIF($W$4:$W$5,F257)&gt;0,F257,IF(ISBLANK(F257),IF(ISBLANK(F258),T(F257),"ERREUR"),"ERREUR"))</f>
        <v/>
      </c>
      <c r="P257" s="38" t="str">
        <f>IF(COUNTIF($X$4:$X$8,G257)&gt;0,G257,IF(ISBLANK(G257),IF(ISBLANK(G258),T(G257),"ERREUR"),"ERREUR"))</f>
        <v/>
      </c>
      <c r="Q257" s="38" t="str">
        <f>IF(ISNUMBER(H257),IF(INT(H257)=H257,H257,"ERREUR"),IF(ISBLANK(H257),IF(ISBLANK(H258),T(H257),"ERREUR"),"ERREUR"))</f>
        <v/>
      </c>
      <c r="R257" s="38"/>
      <c r="S257" s="38"/>
      <c r="T257" s="38"/>
      <c r="U257" s="39" t="str">
        <f>SUBSTITUTE(SUBSTITUTE(SUBSTITUTE(SUBSTITUTE(SUBSTITUTE(SUBSTITUTE(UPPER(S257),"Å","A"),"É","E"),"È","E"),"Ê","E"),"Î","I"),"Ï","I")</f>
        <v/>
      </c>
      <c r="V257" s="38"/>
      <c r="W257" s="38"/>
      <c r="X257" s="53"/>
      <c r="Y257" s="42"/>
      <c r="Z257" s="42"/>
      <c r="AA257" s="42"/>
    </row>
    <row r="258" ht="13.75" customHeight="1">
      <c r="A258" s="14" t="s">
        <v>140</v>
      </c>
      <c r="B258" s="50"/>
      <c r="C258" s="43"/>
      <c r="D258" s="43"/>
      <c r="E258" s="44"/>
      <c r="F258" s="44"/>
      <c r="G258" s="44"/>
      <c r="H258" s="45"/>
      <c r="I258" s="54"/>
      <c r="J258" s="47" t="str">
        <f>IF(OR(K258="ERREUR",L258="ERREUR",M258="ERREUR",N258="ERREUR",O258="ERREUR",P258="ERREUR",Q258="ERREUR"),"ERREUR",IF(AND(K258="",L258="",M258="",N258="",O258="",P258="",Q258=""),"ligne vide",IF(OR(K258="",L258="",M258="",N258="",O258="",P258="",Q258=""),"ligne incomplète","Valide")))</f>
        <v xml:space="preserve">ligne vide</v>
      </c>
      <c r="K258" s="48" t="str">
        <f>IF(ISBLANK(B258),IF(ISBLANK(B259),T(B258),"ERREUR"),IF(ISNUMBER(B258),_xlfn.NUMBERVALUE(B258),IF(ISTEXT(B258),VALUE(B258),"ERREUR")))</f>
        <v/>
      </c>
      <c r="L258" s="38" t="str">
        <f>IF(COUNTIF($R$4:$R$6,C258)&gt;0,C258,IF(ISBLANK(C258),IF(ISBLANK(D258),T(C258),"ERREUR"),"ERREUR"))</f>
        <v/>
      </c>
      <c r="M258" s="49" t="str">
        <f>IF(ISBLANK(D258),IF(ISBLANK(D259),T(D258),"ERREUR"),IF(COUNTIF($T$4:$T$240,SUBSTITUTE(SUBSTITUTE(SUBSTITUTE(SUBSTITUTE(SUBSTITUTE(SUBSTITUTE(UPPER(D258),"Å","A"),"É","E"),"È","E"),"Ê","E"),"Î","I"),"Ï","I"))&gt;0,D258,IF(ISBLANK(D258),T(D258),"ERREUR")))</f>
        <v/>
      </c>
      <c r="N258" s="38" t="str">
        <f>IF(COUNTIF($V$4:$V$6,E258)&gt;0,E258,IF(ISBLANK(E258),IF(ISBLANK(E259),T(E258),"ERREUR"),"ERREUR"))</f>
        <v/>
      </c>
      <c r="O258" s="38" t="str">
        <f>IF(COUNTIF($W$4:$W$5,F258)&gt;0,F258,IF(ISBLANK(F258),IF(ISBLANK(F259),T(F258),"ERREUR"),"ERREUR"))</f>
        <v/>
      </c>
      <c r="P258" s="38" t="str">
        <f>IF(COUNTIF($X$4:$X$8,G258)&gt;0,G258,IF(ISBLANK(G258),IF(ISBLANK(G259),T(G258),"ERREUR"),"ERREUR"))</f>
        <v/>
      </c>
      <c r="Q258" s="38" t="str">
        <f>IF(ISNUMBER(H258),IF(INT(H258)=H258,H258,"ERREUR"),IF(ISBLANK(H258),IF(ISBLANK(H259),T(H258),"ERREUR"),"ERREUR"))</f>
        <v/>
      </c>
      <c r="R258" s="38"/>
      <c r="S258" s="38"/>
      <c r="T258" s="38"/>
      <c r="U258" s="39" t="str">
        <f>SUBSTITUTE(SUBSTITUTE(SUBSTITUTE(SUBSTITUTE(SUBSTITUTE(SUBSTITUTE(UPPER(S258),"Å","A"),"É","E"),"È","E"),"Ê","E"),"Î","I"),"Ï","I")</f>
        <v/>
      </c>
      <c r="V258" s="38"/>
      <c r="W258" s="38"/>
      <c r="X258" s="53"/>
      <c r="Y258" s="42"/>
      <c r="Z258" s="42"/>
      <c r="AA258" s="42"/>
    </row>
    <row r="259" ht="13.75" customHeight="1">
      <c r="A259" s="14" t="s">
        <v>140</v>
      </c>
      <c r="B259" s="50"/>
      <c r="C259" s="43"/>
      <c r="D259" s="43"/>
      <c r="E259" s="44"/>
      <c r="F259" s="44"/>
      <c r="G259" s="44"/>
      <c r="H259" s="45"/>
      <c r="I259" s="54"/>
      <c r="J259" s="47" t="str">
        <f>IF(OR(K259="ERREUR",L259="ERREUR",M259="ERREUR",N259="ERREUR",O259="ERREUR",P259="ERREUR",Q259="ERREUR"),"ERREUR",IF(AND(K259="",L259="",M259="",N259="",O259="",P259="",Q259=""),"ligne vide",IF(OR(K259="",L259="",M259="",N259="",O259="",P259="",Q259=""),"ligne incomplète","Valide")))</f>
        <v xml:space="preserve">ligne vide</v>
      </c>
      <c r="K259" s="48" t="str">
        <f>IF(ISBLANK(B259),IF(ISBLANK(B260),T(B259),"ERREUR"),IF(ISNUMBER(B259),_xlfn.NUMBERVALUE(B259),IF(ISTEXT(B259),VALUE(B259),"ERREUR")))</f>
        <v/>
      </c>
      <c r="L259" s="38" t="str">
        <f>IF(COUNTIF($R$4:$R$6,C259)&gt;0,C259,IF(ISBLANK(C259),IF(ISBLANK(D259),T(C259),"ERREUR"),"ERREUR"))</f>
        <v/>
      </c>
      <c r="M259" s="49" t="str">
        <f>IF(ISBLANK(D259),IF(ISBLANK(D260),T(D259),"ERREUR"),IF(COUNTIF($T$4:$T$240,SUBSTITUTE(SUBSTITUTE(SUBSTITUTE(SUBSTITUTE(SUBSTITUTE(SUBSTITUTE(UPPER(D259),"Å","A"),"É","E"),"È","E"),"Ê","E"),"Î","I"),"Ï","I"))&gt;0,D259,IF(ISBLANK(D259),T(D259),"ERREUR")))</f>
        <v/>
      </c>
      <c r="N259" s="38" t="str">
        <f>IF(COUNTIF($V$4:$V$6,E259)&gt;0,E259,IF(ISBLANK(E259),IF(ISBLANK(E260),T(E259),"ERREUR"),"ERREUR"))</f>
        <v/>
      </c>
      <c r="O259" s="38" t="str">
        <f>IF(COUNTIF($W$4:$W$5,F259)&gt;0,F259,IF(ISBLANK(F259),IF(ISBLANK(F260),T(F259),"ERREUR"),"ERREUR"))</f>
        <v/>
      </c>
      <c r="P259" s="38" t="str">
        <f>IF(COUNTIF($X$4:$X$8,G259)&gt;0,G259,IF(ISBLANK(G259),IF(ISBLANK(G260),T(G259),"ERREUR"),"ERREUR"))</f>
        <v/>
      </c>
      <c r="Q259" s="38" t="str">
        <f>IF(ISNUMBER(H259),IF(INT(H259)=H259,H259,"ERREUR"),IF(ISBLANK(H259),IF(ISBLANK(H260),T(H259),"ERREUR"),"ERREUR"))</f>
        <v/>
      </c>
      <c r="R259" s="38"/>
      <c r="S259" s="38"/>
      <c r="T259" s="38"/>
      <c r="U259" s="39" t="str">
        <f>SUBSTITUTE(SUBSTITUTE(SUBSTITUTE(SUBSTITUTE(SUBSTITUTE(SUBSTITUTE(UPPER(S259),"Å","A"),"É","E"),"È","E"),"Ê","E"),"Î","I"),"Ï","I")</f>
        <v/>
      </c>
      <c r="V259" s="38"/>
      <c r="W259" s="38"/>
      <c r="X259" s="53"/>
      <c r="Y259" s="42"/>
      <c r="Z259" s="42"/>
      <c r="AA259" s="42"/>
    </row>
    <row r="260" ht="13.75" customHeight="1">
      <c r="A260" s="14" t="s">
        <v>140</v>
      </c>
      <c r="B260" s="50"/>
      <c r="C260" s="43"/>
      <c r="D260" s="43"/>
      <c r="E260" s="44"/>
      <c r="F260" s="44"/>
      <c r="G260" s="44"/>
      <c r="H260" s="45"/>
      <c r="I260" s="54"/>
      <c r="J260" s="47" t="str">
        <f>IF(OR(K260="ERREUR",L260="ERREUR",M260="ERREUR",N260="ERREUR",O260="ERREUR",P260="ERREUR",Q260="ERREUR"),"ERREUR",IF(AND(K260="",L260="",M260="",N260="",O260="",P260="",Q260=""),"ligne vide",IF(OR(K260="",L260="",M260="",N260="",O260="",P260="",Q260=""),"ligne incomplète","Valide")))</f>
        <v xml:space="preserve">ligne vide</v>
      </c>
      <c r="K260" s="48" t="str">
        <f>IF(ISBLANK(B260),IF(ISBLANK(B261),T(B260),"ERREUR"),IF(ISNUMBER(B260),_xlfn.NUMBERVALUE(B260),IF(ISTEXT(B260),VALUE(B260),"ERREUR")))</f>
        <v/>
      </c>
      <c r="L260" s="38" t="str">
        <f>IF(COUNTIF($R$4:$R$6,C260)&gt;0,C260,IF(ISBLANK(C260),IF(ISBLANK(D260),T(C260),"ERREUR"),"ERREUR"))</f>
        <v/>
      </c>
      <c r="M260" s="49" t="str">
        <f>IF(ISBLANK(D260),IF(ISBLANK(D261),T(D260),"ERREUR"),IF(COUNTIF($T$4:$T$240,SUBSTITUTE(SUBSTITUTE(SUBSTITUTE(SUBSTITUTE(SUBSTITUTE(SUBSTITUTE(UPPER(D260),"Å","A"),"É","E"),"È","E"),"Ê","E"),"Î","I"),"Ï","I"))&gt;0,D260,IF(ISBLANK(D260),T(D260),"ERREUR")))</f>
        <v/>
      </c>
      <c r="N260" s="38" t="str">
        <f>IF(COUNTIF($V$4:$V$6,E260)&gt;0,E260,IF(ISBLANK(E260),IF(ISBLANK(E261),T(E260),"ERREUR"),"ERREUR"))</f>
        <v/>
      </c>
      <c r="O260" s="38" t="str">
        <f>IF(COUNTIF($W$4:$W$5,F260)&gt;0,F260,IF(ISBLANK(F260),IF(ISBLANK(F261),T(F260),"ERREUR"),"ERREUR"))</f>
        <v/>
      </c>
      <c r="P260" s="38" t="str">
        <f>IF(COUNTIF($X$4:$X$8,G260)&gt;0,G260,IF(ISBLANK(G260),IF(ISBLANK(G261),T(G260),"ERREUR"),"ERREUR"))</f>
        <v/>
      </c>
      <c r="Q260" s="38" t="str">
        <f>IF(ISNUMBER(H260),IF(INT(H260)=H260,H260,"ERREUR"),IF(ISBLANK(H260),IF(ISBLANK(H261),T(H260),"ERREUR"),"ERREUR"))</f>
        <v/>
      </c>
      <c r="R260" s="38"/>
      <c r="S260" s="38"/>
      <c r="T260" s="38"/>
      <c r="U260" s="39" t="str">
        <f>SUBSTITUTE(SUBSTITUTE(SUBSTITUTE(SUBSTITUTE(SUBSTITUTE(SUBSTITUTE(UPPER(S260),"Å","A"),"É","E"),"È","E"),"Ê","E"),"Î","I"),"Ï","I")</f>
        <v/>
      </c>
      <c r="V260" s="38"/>
      <c r="W260" s="38"/>
      <c r="X260" s="53"/>
      <c r="Y260" s="42"/>
      <c r="Z260" s="42"/>
      <c r="AA260" s="42"/>
    </row>
    <row r="261" ht="13.75" customHeight="1">
      <c r="A261" s="14" t="s">
        <v>140</v>
      </c>
      <c r="B261" s="50"/>
      <c r="C261" s="43"/>
      <c r="D261" s="43"/>
      <c r="E261" s="44"/>
      <c r="F261" s="44"/>
      <c r="G261" s="44"/>
      <c r="H261" s="45"/>
      <c r="I261" s="54"/>
      <c r="J261" s="47" t="str">
        <f>IF(OR(K261="ERREUR",L261="ERREUR",M261="ERREUR",N261="ERREUR",O261="ERREUR",P261="ERREUR",Q261="ERREUR"),"ERREUR",IF(AND(K261="",L261="",M261="",N261="",O261="",P261="",Q261=""),"ligne vide",IF(OR(K261="",L261="",M261="",N261="",O261="",P261="",Q261=""),"ligne incomplète","Valide")))</f>
        <v xml:space="preserve">ligne vide</v>
      </c>
      <c r="K261" s="48" t="str">
        <f>IF(ISBLANK(B261),IF(ISBLANK(B262),T(B261),"ERREUR"),IF(ISNUMBER(B261),_xlfn.NUMBERVALUE(B261),IF(ISTEXT(B261),VALUE(B261),"ERREUR")))</f>
        <v/>
      </c>
      <c r="L261" s="38" t="str">
        <f>IF(COUNTIF($R$4:$R$6,C261)&gt;0,C261,IF(ISBLANK(C261),IF(ISBLANK(D261),T(C261),"ERREUR"),"ERREUR"))</f>
        <v/>
      </c>
      <c r="M261" s="49" t="str">
        <f>IF(ISBLANK(D261),IF(ISBLANK(D262),T(D261),"ERREUR"),IF(COUNTIF($T$4:$T$240,SUBSTITUTE(SUBSTITUTE(SUBSTITUTE(SUBSTITUTE(SUBSTITUTE(SUBSTITUTE(UPPER(D261),"Å","A"),"É","E"),"È","E"),"Ê","E"),"Î","I"),"Ï","I"))&gt;0,D261,IF(ISBLANK(D261),T(D261),"ERREUR")))</f>
        <v/>
      </c>
      <c r="N261" s="38" t="str">
        <f>IF(COUNTIF($V$4:$V$6,E261)&gt;0,E261,IF(ISBLANK(E261),IF(ISBLANK(E262),T(E261),"ERREUR"),"ERREUR"))</f>
        <v/>
      </c>
      <c r="O261" s="38" t="str">
        <f>IF(COUNTIF($W$4:$W$5,F261)&gt;0,F261,IF(ISBLANK(F261),IF(ISBLANK(F262),T(F261),"ERREUR"),"ERREUR"))</f>
        <v/>
      </c>
      <c r="P261" s="38" t="str">
        <f>IF(COUNTIF($X$4:$X$8,G261)&gt;0,G261,IF(ISBLANK(G261),IF(ISBLANK(G262),T(G261),"ERREUR"),"ERREUR"))</f>
        <v/>
      </c>
      <c r="Q261" s="38" t="str">
        <f>IF(ISNUMBER(H261),IF(INT(H261)=H261,H261,"ERREUR"),IF(ISBLANK(H261),IF(ISBLANK(H262),T(H261),"ERREUR"),"ERREUR"))</f>
        <v/>
      </c>
      <c r="R261" s="38"/>
      <c r="S261" s="38"/>
      <c r="T261" s="38"/>
      <c r="U261" s="39" t="str">
        <f>SUBSTITUTE(SUBSTITUTE(SUBSTITUTE(SUBSTITUTE(SUBSTITUTE(SUBSTITUTE(UPPER(S261),"Å","A"),"É","E"),"È","E"),"Ê","E"),"Î","I"),"Ï","I")</f>
        <v/>
      </c>
      <c r="V261" s="38"/>
      <c r="W261" s="38"/>
      <c r="X261" s="53"/>
      <c r="Y261" s="42"/>
      <c r="Z261" s="42"/>
      <c r="AA261" s="42"/>
    </row>
    <row r="262" ht="13.75" customHeight="1">
      <c r="A262" s="14" t="s">
        <v>140</v>
      </c>
      <c r="B262" s="50"/>
      <c r="C262" s="43"/>
      <c r="D262" s="43"/>
      <c r="E262" s="44"/>
      <c r="F262" s="44"/>
      <c r="G262" s="44"/>
      <c r="H262" s="45"/>
      <c r="I262" s="54"/>
      <c r="J262" s="47" t="str">
        <f>IF(OR(K262="ERREUR",L262="ERREUR",M262="ERREUR",N262="ERREUR",O262="ERREUR",P262="ERREUR",Q262="ERREUR"),"ERREUR",IF(AND(K262="",L262="",M262="",N262="",O262="",P262="",Q262=""),"ligne vide",IF(OR(K262="",L262="",M262="",N262="",O262="",P262="",Q262=""),"ligne incomplète","Valide")))</f>
        <v xml:space="preserve">ligne vide</v>
      </c>
      <c r="K262" s="48" t="str">
        <f>IF(ISBLANK(B262),IF(ISBLANK(B263),T(B262),"ERREUR"),IF(ISNUMBER(B262),_xlfn.NUMBERVALUE(B262),IF(ISTEXT(B262),VALUE(B262),"ERREUR")))</f>
        <v/>
      </c>
      <c r="L262" s="38" t="str">
        <f>IF(COUNTIF($R$4:$R$6,C262)&gt;0,C262,IF(ISBLANK(C262),IF(ISBLANK(D262),T(C262),"ERREUR"),"ERREUR"))</f>
        <v/>
      </c>
      <c r="M262" s="49" t="str">
        <f>IF(ISBLANK(D262),IF(ISBLANK(D263),T(D262),"ERREUR"),IF(COUNTIF($T$4:$T$240,SUBSTITUTE(SUBSTITUTE(SUBSTITUTE(SUBSTITUTE(SUBSTITUTE(SUBSTITUTE(UPPER(D262),"Å","A"),"É","E"),"È","E"),"Ê","E"),"Î","I"),"Ï","I"))&gt;0,D262,IF(ISBLANK(D262),T(D262),"ERREUR")))</f>
        <v/>
      </c>
      <c r="N262" s="38" t="str">
        <f>IF(COUNTIF($V$4:$V$6,E262)&gt;0,E262,IF(ISBLANK(E262),IF(ISBLANK(E263),T(E262),"ERREUR"),"ERREUR"))</f>
        <v/>
      </c>
      <c r="O262" s="38" t="str">
        <f>IF(COUNTIF($W$4:$W$5,F262)&gt;0,F262,IF(ISBLANK(F262),IF(ISBLANK(F263),T(F262),"ERREUR"),"ERREUR"))</f>
        <v/>
      </c>
      <c r="P262" s="38" t="str">
        <f>IF(COUNTIF($X$4:$X$8,G262)&gt;0,G262,IF(ISBLANK(G262),IF(ISBLANK(G263),T(G262),"ERREUR"),"ERREUR"))</f>
        <v/>
      </c>
      <c r="Q262" s="38" t="str">
        <f>IF(ISNUMBER(H262),IF(INT(H262)=H262,H262,"ERREUR"),IF(ISBLANK(H262),IF(ISBLANK(H263),T(H262),"ERREUR"),"ERREUR"))</f>
        <v/>
      </c>
      <c r="R262" s="38"/>
      <c r="S262" s="38"/>
      <c r="T262" s="38"/>
      <c r="U262" s="39" t="str">
        <f>SUBSTITUTE(SUBSTITUTE(SUBSTITUTE(SUBSTITUTE(SUBSTITUTE(SUBSTITUTE(UPPER(S262),"Å","A"),"É","E"),"È","E"),"Ê","E"),"Î","I"),"Ï","I")</f>
        <v/>
      </c>
      <c r="V262" s="38"/>
      <c r="W262" s="38"/>
      <c r="X262" s="53"/>
      <c r="Y262" s="42"/>
      <c r="Z262" s="42"/>
      <c r="AA262" s="42"/>
    </row>
    <row r="263" ht="13.75" customHeight="1">
      <c r="A263" s="14" t="s">
        <v>140</v>
      </c>
      <c r="B263" s="50"/>
      <c r="C263" s="43"/>
      <c r="D263" s="43"/>
      <c r="E263" s="44"/>
      <c r="F263" s="44"/>
      <c r="G263" s="44"/>
      <c r="H263" s="45"/>
      <c r="I263" s="54"/>
      <c r="J263" s="47" t="str">
        <f>IF(OR(K263="ERREUR",L263="ERREUR",M263="ERREUR",N263="ERREUR",O263="ERREUR",P263="ERREUR",Q263="ERREUR"),"ERREUR",IF(AND(K263="",L263="",M263="",N263="",O263="",P263="",Q263=""),"ligne vide",IF(OR(K263="",L263="",M263="",N263="",O263="",P263="",Q263=""),"ligne incomplète","Valide")))</f>
        <v xml:space="preserve">ligne vide</v>
      </c>
      <c r="K263" s="48" t="str">
        <f>IF(ISBLANK(B263),IF(ISBLANK(B264),T(B263),"ERREUR"),IF(ISNUMBER(B263),_xlfn.NUMBERVALUE(B263),IF(ISTEXT(B263),VALUE(B263),"ERREUR")))</f>
        <v/>
      </c>
      <c r="L263" s="38" t="str">
        <f>IF(COUNTIF($R$4:$R$6,C263)&gt;0,C263,IF(ISBLANK(C263),IF(ISBLANK(D263),T(C263),"ERREUR"),"ERREUR"))</f>
        <v/>
      </c>
      <c r="M263" s="49" t="str">
        <f>IF(ISBLANK(D263),IF(ISBLANK(D264),T(D263),"ERREUR"),IF(COUNTIF($T$4:$T$240,SUBSTITUTE(SUBSTITUTE(SUBSTITUTE(SUBSTITUTE(SUBSTITUTE(SUBSTITUTE(UPPER(D263),"Å","A"),"É","E"),"È","E"),"Ê","E"),"Î","I"),"Ï","I"))&gt;0,D263,IF(ISBLANK(D263),T(D263),"ERREUR")))</f>
        <v/>
      </c>
      <c r="N263" s="38" t="str">
        <f>IF(COUNTIF($V$4:$V$6,E263)&gt;0,E263,IF(ISBLANK(E263),IF(ISBLANK(E264),T(E263),"ERREUR"),"ERREUR"))</f>
        <v/>
      </c>
      <c r="O263" s="38" t="str">
        <f>IF(COUNTIF($W$4:$W$5,F263)&gt;0,F263,IF(ISBLANK(F263),IF(ISBLANK(F264),T(F263),"ERREUR"),"ERREUR"))</f>
        <v/>
      </c>
      <c r="P263" s="38" t="str">
        <f>IF(COUNTIF($X$4:$X$8,G263)&gt;0,G263,IF(ISBLANK(G263),IF(ISBLANK(G264),T(G263),"ERREUR"),"ERREUR"))</f>
        <v/>
      </c>
      <c r="Q263" s="38" t="str">
        <f>IF(ISNUMBER(H263),IF(INT(H263)=H263,H263,"ERREUR"),IF(ISBLANK(H263),IF(ISBLANK(H264),T(H263),"ERREUR"),"ERREUR"))</f>
        <v/>
      </c>
      <c r="R263" s="38"/>
      <c r="S263" s="38"/>
      <c r="T263" s="38"/>
      <c r="U263" s="39" t="str">
        <f>SUBSTITUTE(SUBSTITUTE(SUBSTITUTE(SUBSTITUTE(SUBSTITUTE(SUBSTITUTE(UPPER(S263),"Å","A"),"É","E"),"È","E"),"Ê","E"),"Î","I"),"Ï","I")</f>
        <v/>
      </c>
      <c r="V263" s="38"/>
      <c r="W263" s="38"/>
      <c r="X263" s="53"/>
      <c r="Y263" s="42"/>
      <c r="Z263" s="42"/>
      <c r="AA263" s="42"/>
    </row>
    <row r="264" ht="13.75" customHeight="1">
      <c r="A264" s="14" t="s">
        <v>140</v>
      </c>
      <c r="B264" s="50"/>
      <c r="C264" s="43"/>
      <c r="D264" s="43"/>
      <c r="E264" s="44"/>
      <c r="F264" s="44"/>
      <c r="G264" s="44"/>
      <c r="H264" s="45"/>
      <c r="I264" s="54"/>
      <c r="J264" s="47" t="str">
        <f>IF(OR(K264="ERREUR",L264="ERREUR",M264="ERREUR",N264="ERREUR",O264="ERREUR",P264="ERREUR",Q264="ERREUR"),"ERREUR",IF(AND(K264="",L264="",M264="",N264="",O264="",P264="",Q264=""),"ligne vide",IF(OR(K264="",L264="",M264="",N264="",O264="",P264="",Q264=""),"ligne incomplète","Valide")))</f>
        <v xml:space="preserve">ligne vide</v>
      </c>
      <c r="K264" s="48" t="str">
        <f>IF(ISBLANK(B264),IF(ISBLANK(B265),T(B264),"ERREUR"),IF(ISNUMBER(B264),_xlfn.NUMBERVALUE(B264),IF(ISTEXT(B264),VALUE(B264),"ERREUR")))</f>
        <v/>
      </c>
      <c r="L264" s="38" t="str">
        <f>IF(COUNTIF($R$4:$R$6,C264)&gt;0,C264,IF(ISBLANK(C264),IF(ISBLANK(D264),T(C264),"ERREUR"),"ERREUR"))</f>
        <v/>
      </c>
      <c r="M264" s="49" t="str">
        <f>IF(ISBLANK(D264),IF(ISBLANK(D265),T(D264),"ERREUR"),IF(COUNTIF($T$4:$T$240,SUBSTITUTE(SUBSTITUTE(SUBSTITUTE(SUBSTITUTE(SUBSTITUTE(SUBSTITUTE(UPPER(D264),"Å","A"),"É","E"),"È","E"),"Ê","E"),"Î","I"),"Ï","I"))&gt;0,D264,IF(ISBLANK(D264),T(D264),"ERREUR")))</f>
        <v/>
      </c>
      <c r="N264" s="38" t="str">
        <f>IF(COUNTIF($V$4:$V$6,E264)&gt;0,E264,IF(ISBLANK(E264),IF(ISBLANK(E265),T(E264),"ERREUR"),"ERREUR"))</f>
        <v/>
      </c>
      <c r="O264" s="38" t="str">
        <f>IF(COUNTIF($W$4:$W$5,F264)&gt;0,F264,IF(ISBLANK(F264),IF(ISBLANK(F265),T(F264),"ERREUR"),"ERREUR"))</f>
        <v/>
      </c>
      <c r="P264" s="38" t="str">
        <f>IF(COUNTIF($X$4:$X$8,G264)&gt;0,G264,IF(ISBLANK(G264),IF(ISBLANK(G265),T(G264),"ERREUR"),"ERREUR"))</f>
        <v/>
      </c>
      <c r="Q264" s="38" t="str">
        <f>IF(ISNUMBER(H264),IF(INT(H264)=H264,H264,"ERREUR"),IF(ISBLANK(H264),IF(ISBLANK(H265),T(H264),"ERREUR"),"ERREUR"))</f>
        <v/>
      </c>
      <c r="R264" s="38"/>
      <c r="S264" s="38"/>
      <c r="T264" s="38"/>
      <c r="U264" s="39" t="str">
        <f>SUBSTITUTE(SUBSTITUTE(SUBSTITUTE(SUBSTITUTE(SUBSTITUTE(SUBSTITUTE(UPPER(S264),"Å","A"),"É","E"),"È","E"),"Ê","E"),"Î","I"),"Ï","I")</f>
        <v/>
      </c>
      <c r="V264" s="38"/>
      <c r="W264" s="38"/>
      <c r="X264" s="53"/>
      <c r="Y264" s="42"/>
      <c r="Z264" s="42"/>
      <c r="AA264" s="42"/>
    </row>
    <row r="265" ht="13.75" customHeight="1">
      <c r="A265" s="14" t="s">
        <v>140</v>
      </c>
      <c r="B265" s="50"/>
      <c r="C265" s="43"/>
      <c r="D265" s="43"/>
      <c r="E265" s="44"/>
      <c r="F265" s="44"/>
      <c r="G265" s="44"/>
      <c r="H265" s="45"/>
      <c r="I265" s="54"/>
      <c r="J265" s="47" t="str">
        <f>IF(OR(K265="ERREUR",L265="ERREUR",M265="ERREUR",N265="ERREUR",O265="ERREUR",P265="ERREUR",Q265="ERREUR"),"ERREUR",IF(AND(K265="",L265="",M265="",N265="",O265="",P265="",Q265=""),"ligne vide",IF(OR(K265="",L265="",M265="",N265="",O265="",P265="",Q265=""),"ligne incomplète","Valide")))</f>
        <v xml:space="preserve">ligne vide</v>
      </c>
      <c r="K265" s="48" t="str">
        <f>IF(ISBLANK(B265),IF(ISBLANK(B266),T(B265),"ERREUR"),IF(ISNUMBER(B265),_xlfn.NUMBERVALUE(B265),IF(ISTEXT(B265),VALUE(B265),"ERREUR")))</f>
        <v/>
      </c>
      <c r="L265" s="38" t="str">
        <f>IF(COUNTIF($R$4:$R$6,C265)&gt;0,C265,IF(ISBLANK(C265),IF(ISBLANK(D265),T(C265),"ERREUR"),"ERREUR"))</f>
        <v/>
      </c>
      <c r="M265" s="49" t="str">
        <f>IF(ISBLANK(D265),IF(ISBLANK(D266),T(D265),"ERREUR"),IF(COUNTIF($T$4:$T$240,SUBSTITUTE(SUBSTITUTE(SUBSTITUTE(SUBSTITUTE(SUBSTITUTE(SUBSTITUTE(UPPER(D265),"Å","A"),"É","E"),"È","E"),"Ê","E"),"Î","I"),"Ï","I"))&gt;0,D265,IF(ISBLANK(D265),T(D265),"ERREUR")))</f>
        <v/>
      </c>
      <c r="N265" s="38" t="str">
        <f>IF(COUNTIF($V$4:$V$6,E265)&gt;0,E265,IF(ISBLANK(E265),IF(ISBLANK(E266),T(E265),"ERREUR"),"ERREUR"))</f>
        <v/>
      </c>
      <c r="O265" s="38" t="str">
        <f>IF(COUNTIF($W$4:$W$5,F265)&gt;0,F265,IF(ISBLANK(F265),IF(ISBLANK(F266),T(F265),"ERREUR"),"ERREUR"))</f>
        <v/>
      </c>
      <c r="P265" s="38" t="str">
        <f>IF(COUNTIF($X$4:$X$8,G265)&gt;0,G265,IF(ISBLANK(G265),IF(ISBLANK(G266),T(G265),"ERREUR"),"ERREUR"))</f>
        <v/>
      </c>
      <c r="Q265" s="38" t="str">
        <f>IF(ISNUMBER(H265),IF(INT(H265)=H265,H265,"ERREUR"),IF(ISBLANK(H265),IF(ISBLANK(H266),T(H265),"ERREUR"),"ERREUR"))</f>
        <v/>
      </c>
      <c r="R265" s="38"/>
      <c r="S265" s="38"/>
      <c r="T265" s="38"/>
      <c r="U265" s="39" t="str">
        <f>SUBSTITUTE(SUBSTITUTE(SUBSTITUTE(SUBSTITUTE(SUBSTITUTE(SUBSTITUTE(UPPER(S265),"Å","A"),"É","E"),"È","E"),"Ê","E"),"Î","I"),"Ï","I")</f>
        <v/>
      </c>
      <c r="V265" s="38"/>
      <c r="W265" s="38"/>
      <c r="X265" s="53"/>
      <c r="Y265" s="42"/>
      <c r="Z265" s="42"/>
      <c r="AA265" s="42"/>
    </row>
    <row r="266" ht="13.75" customHeight="1">
      <c r="A266" s="14" t="s">
        <v>140</v>
      </c>
      <c r="B266" s="50"/>
      <c r="C266" s="43"/>
      <c r="D266" s="43"/>
      <c r="E266" s="44"/>
      <c r="F266" s="44"/>
      <c r="G266" s="44"/>
      <c r="H266" s="45"/>
      <c r="I266" s="54"/>
      <c r="J266" s="47" t="str">
        <f>IF(OR(K266="ERREUR",L266="ERREUR",M266="ERREUR",N266="ERREUR",O266="ERREUR",P266="ERREUR",Q266="ERREUR"),"ERREUR",IF(AND(K266="",L266="",M266="",N266="",O266="",P266="",Q266=""),"ligne vide",IF(OR(K266="",L266="",M266="",N266="",O266="",P266="",Q266=""),"ligne incomplète","Valide")))</f>
        <v xml:space="preserve">ligne vide</v>
      </c>
      <c r="K266" s="48" t="str">
        <f>IF(ISBLANK(B266),IF(ISBLANK(B267),T(B266),"ERREUR"),IF(ISNUMBER(B266),_xlfn.NUMBERVALUE(B266),IF(ISTEXT(B266),VALUE(B266),"ERREUR")))</f>
        <v/>
      </c>
      <c r="L266" s="38" t="str">
        <f>IF(COUNTIF($R$4:$R$6,C266)&gt;0,C266,IF(ISBLANK(C266),IF(ISBLANK(D266),T(C266),"ERREUR"),"ERREUR"))</f>
        <v/>
      </c>
      <c r="M266" s="49" t="str">
        <f>IF(ISBLANK(D266),IF(ISBLANK(D267),T(D266),"ERREUR"),IF(COUNTIF($T$4:$T$240,SUBSTITUTE(SUBSTITUTE(SUBSTITUTE(SUBSTITUTE(SUBSTITUTE(SUBSTITUTE(UPPER(D266),"Å","A"),"É","E"),"È","E"),"Ê","E"),"Î","I"),"Ï","I"))&gt;0,D266,IF(ISBLANK(D266),T(D266),"ERREUR")))</f>
        <v/>
      </c>
      <c r="N266" s="38" t="str">
        <f>IF(COUNTIF($V$4:$V$6,E266)&gt;0,E266,IF(ISBLANK(E266),IF(ISBLANK(E267),T(E266),"ERREUR"),"ERREUR"))</f>
        <v/>
      </c>
      <c r="O266" s="38" t="str">
        <f>IF(COUNTIF($W$4:$W$5,F266)&gt;0,F266,IF(ISBLANK(F266),IF(ISBLANK(F267),T(F266),"ERREUR"),"ERREUR"))</f>
        <v/>
      </c>
      <c r="P266" s="38" t="str">
        <f>IF(COUNTIF($X$4:$X$8,G266)&gt;0,G266,IF(ISBLANK(G266),IF(ISBLANK(G267),T(G266),"ERREUR"),"ERREUR"))</f>
        <v/>
      </c>
      <c r="Q266" s="38" t="str">
        <f>IF(ISNUMBER(H266),IF(INT(H266)=H266,H266,"ERREUR"),IF(ISBLANK(H266),IF(ISBLANK(H267),T(H266),"ERREUR"),"ERREUR"))</f>
        <v/>
      </c>
      <c r="R266" s="38"/>
      <c r="S266" s="38"/>
      <c r="T266" s="38"/>
      <c r="U266" s="39" t="str">
        <f>SUBSTITUTE(SUBSTITUTE(SUBSTITUTE(SUBSTITUTE(SUBSTITUTE(SUBSTITUTE(UPPER(S266),"Å","A"),"É","E"),"È","E"),"Ê","E"),"Î","I"),"Ï","I")</f>
        <v/>
      </c>
      <c r="V266" s="38"/>
      <c r="W266" s="38"/>
      <c r="X266" s="53"/>
      <c r="Y266" s="42"/>
      <c r="Z266" s="42"/>
      <c r="AA266" s="42"/>
    </row>
    <row r="267" ht="13.75" customHeight="1">
      <c r="A267" s="14" t="s">
        <v>140</v>
      </c>
      <c r="B267" s="50"/>
      <c r="C267" s="43"/>
      <c r="D267" s="43"/>
      <c r="E267" s="44"/>
      <c r="F267" s="44"/>
      <c r="G267" s="44"/>
      <c r="H267" s="45"/>
      <c r="I267" s="54"/>
      <c r="J267" s="47" t="str">
        <f>IF(OR(K267="ERREUR",L267="ERREUR",M267="ERREUR",N267="ERREUR",O267="ERREUR",P267="ERREUR",Q267="ERREUR"),"ERREUR",IF(AND(K267="",L267="",M267="",N267="",O267="",P267="",Q267=""),"ligne vide",IF(OR(K267="",L267="",M267="",N267="",O267="",P267="",Q267=""),"ligne incomplète","Valide")))</f>
        <v xml:space="preserve">ligne vide</v>
      </c>
      <c r="K267" s="48" t="str">
        <f>IF(ISBLANK(B267),IF(ISBLANK(B268),T(B267),"ERREUR"),IF(ISNUMBER(B267),_xlfn.NUMBERVALUE(B267),IF(ISTEXT(B267),VALUE(B267),"ERREUR")))</f>
        <v/>
      </c>
      <c r="L267" s="38" t="str">
        <f>IF(COUNTIF($R$4:$R$6,C267)&gt;0,C267,IF(ISBLANK(C267),IF(ISBLANK(D267),T(C267),"ERREUR"),"ERREUR"))</f>
        <v/>
      </c>
      <c r="M267" s="49" t="str">
        <f>IF(ISBLANK(D267),IF(ISBLANK(D268),T(D267),"ERREUR"),IF(COUNTIF($T$4:$T$240,SUBSTITUTE(SUBSTITUTE(SUBSTITUTE(SUBSTITUTE(SUBSTITUTE(SUBSTITUTE(UPPER(D267),"Å","A"),"É","E"),"È","E"),"Ê","E"),"Î","I"),"Ï","I"))&gt;0,D267,IF(ISBLANK(D267),T(D267),"ERREUR")))</f>
        <v/>
      </c>
      <c r="N267" s="38" t="str">
        <f>IF(COUNTIF($V$4:$V$6,E267)&gt;0,E267,IF(ISBLANK(E267),IF(ISBLANK(E268),T(E267),"ERREUR"),"ERREUR"))</f>
        <v/>
      </c>
      <c r="O267" s="38" t="str">
        <f>IF(COUNTIF($W$4:$W$5,F267)&gt;0,F267,IF(ISBLANK(F267),IF(ISBLANK(F268),T(F267),"ERREUR"),"ERREUR"))</f>
        <v/>
      </c>
      <c r="P267" s="38" t="str">
        <f>IF(COUNTIF($X$4:$X$8,G267)&gt;0,G267,IF(ISBLANK(G267),IF(ISBLANK(G268),T(G267),"ERREUR"),"ERREUR"))</f>
        <v/>
      </c>
      <c r="Q267" s="38" t="str">
        <f>IF(ISNUMBER(H267),IF(INT(H267)=H267,H267,"ERREUR"),IF(ISBLANK(H267),IF(ISBLANK(H268),T(H267),"ERREUR"),"ERREUR"))</f>
        <v/>
      </c>
      <c r="R267" s="38"/>
      <c r="S267" s="38"/>
      <c r="T267" s="38"/>
      <c r="U267" s="39" t="str">
        <f>SUBSTITUTE(SUBSTITUTE(SUBSTITUTE(SUBSTITUTE(SUBSTITUTE(SUBSTITUTE(UPPER(S267),"Å","A"),"É","E"),"È","E"),"Ê","E"),"Î","I"),"Ï","I")</f>
        <v/>
      </c>
      <c r="V267" s="38"/>
      <c r="W267" s="38"/>
      <c r="X267" s="53"/>
      <c r="Y267" s="42"/>
      <c r="Z267" s="42"/>
      <c r="AA267" s="42"/>
    </row>
    <row r="268" ht="13.75" customHeight="1">
      <c r="A268" s="14" t="s">
        <v>140</v>
      </c>
      <c r="B268" s="50"/>
      <c r="C268" s="43"/>
      <c r="D268" s="43"/>
      <c r="E268" s="44"/>
      <c r="F268" s="44"/>
      <c r="G268" s="44"/>
      <c r="H268" s="45"/>
      <c r="I268" s="54"/>
      <c r="J268" s="47" t="str">
        <f>IF(OR(K268="ERREUR",L268="ERREUR",M268="ERREUR",N268="ERREUR",O268="ERREUR",P268="ERREUR",Q268="ERREUR"),"ERREUR",IF(AND(K268="",L268="",M268="",N268="",O268="",P268="",Q268=""),"ligne vide",IF(OR(K268="",L268="",M268="",N268="",O268="",P268="",Q268=""),"ligne incomplète","Valide")))</f>
        <v xml:space="preserve">ligne vide</v>
      </c>
      <c r="K268" s="48" t="str">
        <f>IF(ISBLANK(B268),IF(ISBLANK(B269),T(B268),"ERREUR"),IF(ISNUMBER(B268),_xlfn.NUMBERVALUE(B268),IF(ISTEXT(B268),VALUE(B268),"ERREUR")))</f>
        <v/>
      </c>
      <c r="L268" s="38" t="str">
        <f>IF(COUNTIF($R$4:$R$6,C268)&gt;0,C268,IF(ISBLANK(C268),IF(ISBLANK(D268),T(C268),"ERREUR"),"ERREUR"))</f>
        <v/>
      </c>
      <c r="M268" s="49" t="str">
        <f>IF(ISBLANK(D268),IF(ISBLANK(D269),T(D268),"ERREUR"),IF(COUNTIF($T$4:$T$240,SUBSTITUTE(SUBSTITUTE(SUBSTITUTE(SUBSTITUTE(SUBSTITUTE(SUBSTITUTE(UPPER(D268),"Å","A"),"É","E"),"È","E"),"Ê","E"),"Î","I"),"Ï","I"))&gt;0,D268,IF(ISBLANK(D268),T(D268),"ERREUR")))</f>
        <v/>
      </c>
      <c r="N268" s="38" t="str">
        <f>IF(COUNTIF($V$4:$V$6,E268)&gt;0,E268,IF(ISBLANK(E268),IF(ISBLANK(E269),T(E268),"ERREUR"),"ERREUR"))</f>
        <v/>
      </c>
      <c r="O268" s="38" t="str">
        <f>IF(COUNTIF($W$4:$W$5,F268)&gt;0,F268,IF(ISBLANK(F268),IF(ISBLANK(F269),T(F268),"ERREUR"),"ERREUR"))</f>
        <v/>
      </c>
      <c r="P268" s="38" t="str">
        <f>IF(COUNTIF($X$4:$X$8,G268)&gt;0,G268,IF(ISBLANK(G268),IF(ISBLANK(G269),T(G268),"ERREUR"),"ERREUR"))</f>
        <v/>
      </c>
      <c r="Q268" s="38" t="str">
        <f>IF(ISNUMBER(H268),IF(INT(H268)=H268,H268,"ERREUR"),IF(ISBLANK(H268),IF(ISBLANK(H269),T(H268),"ERREUR"),"ERREUR"))</f>
        <v/>
      </c>
      <c r="R268" s="38"/>
      <c r="S268" s="38"/>
      <c r="T268" s="38"/>
      <c r="U268" s="39" t="str">
        <f>SUBSTITUTE(SUBSTITUTE(SUBSTITUTE(SUBSTITUTE(SUBSTITUTE(SUBSTITUTE(UPPER(S268),"Å","A"),"É","E"),"È","E"),"Ê","E"),"Î","I"),"Ï","I")</f>
        <v/>
      </c>
      <c r="V268" s="38"/>
      <c r="W268" s="38"/>
      <c r="X268" s="53"/>
      <c r="Y268" s="42"/>
      <c r="Z268" s="42"/>
      <c r="AA268" s="42"/>
    </row>
    <row r="269" ht="13.75" customHeight="1">
      <c r="A269" s="14" t="s">
        <v>140</v>
      </c>
      <c r="B269" s="50"/>
      <c r="C269" s="43"/>
      <c r="D269" s="43"/>
      <c r="E269" s="44"/>
      <c r="F269" s="44"/>
      <c r="G269" s="44"/>
      <c r="H269" s="45"/>
      <c r="I269" s="54"/>
      <c r="J269" s="47" t="str">
        <f>IF(OR(K269="ERREUR",L269="ERREUR",M269="ERREUR",N269="ERREUR",O269="ERREUR",P269="ERREUR",Q269="ERREUR"),"ERREUR",IF(AND(K269="",L269="",M269="",N269="",O269="",P269="",Q269=""),"ligne vide",IF(OR(K269="",L269="",M269="",N269="",O269="",P269="",Q269=""),"ligne incomplète","Valide")))</f>
        <v xml:space="preserve">ligne vide</v>
      </c>
      <c r="K269" s="48" t="str">
        <f>IF(ISBLANK(B269),IF(ISBLANK(B270),T(B269),"ERREUR"),IF(ISNUMBER(B269),_xlfn.NUMBERVALUE(B269),IF(ISTEXT(B269),VALUE(B269),"ERREUR")))</f>
        <v/>
      </c>
      <c r="L269" s="38" t="str">
        <f>IF(COUNTIF($R$4:$R$6,C269)&gt;0,C269,IF(ISBLANK(C269),IF(ISBLANK(D269),T(C269),"ERREUR"),"ERREUR"))</f>
        <v/>
      </c>
      <c r="M269" s="49" t="str">
        <f>IF(ISBLANK(D269),IF(ISBLANK(D270),T(D269),"ERREUR"),IF(COUNTIF($T$4:$T$240,SUBSTITUTE(SUBSTITUTE(SUBSTITUTE(SUBSTITUTE(SUBSTITUTE(SUBSTITUTE(UPPER(D269),"Å","A"),"É","E"),"È","E"),"Ê","E"),"Î","I"),"Ï","I"))&gt;0,D269,IF(ISBLANK(D269),T(D269),"ERREUR")))</f>
        <v/>
      </c>
      <c r="N269" s="38" t="str">
        <f>IF(COUNTIF($V$4:$V$6,E269)&gt;0,E269,IF(ISBLANK(E269),IF(ISBLANK(E270),T(E269),"ERREUR"),"ERREUR"))</f>
        <v/>
      </c>
      <c r="O269" s="38" t="str">
        <f>IF(COUNTIF($W$4:$W$5,F269)&gt;0,F269,IF(ISBLANK(F269),IF(ISBLANK(F270),T(F269),"ERREUR"),"ERREUR"))</f>
        <v/>
      </c>
      <c r="P269" s="38" t="str">
        <f>IF(COUNTIF($X$4:$X$8,G269)&gt;0,G269,IF(ISBLANK(G269),IF(ISBLANK(G270),T(G269),"ERREUR"),"ERREUR"))</f>
        <v/>
      </c>
      <c r="Q269" s="38" t="str">
        <f>IF(ISNUMBER(H269),IF(INT(H269)=H269,H269,"ERREUR"),IF(ISBLANK(H269),IF(ISBLANK(H270),T(H269),"ERREUR"),"ERREUR"))</f>
        <v/>
      </c>
      <c r="R269" s="38"/>
      <c r="S269" s="38"/>
      <c r="T269" s="38"/>
      <c r="U269" s="39" t="str">
        <f>SUBSTITUTE(SUBSTITUTE(SUBSTITUTE(SUBSTITUTE(SUBSTITUTE(SUBSTITUTE(UPPER(S269),"Å","A"),"É","E"),"È","E"),"Ê","E"),"Î","I"),"Ï","I")</f>
        <v/>
      </c>
      <c r="V269" s="38"/>
      <c r="W269" s="38"/>
      <c r="X269" s="53"/>
      <c r="Y269" s="42"/>
      <c r="Z269" s="42"/>
      <c r="AA269" s="42"/>
    </row>
    <row r="270" ht="13.75" customHeight="1">
      <c r="A270" s="14" t="s">
        <v>140</v>
      </c>
      <c r="B270" s="50"/>
      <c r="C270" s="43"/>
      <c r="D270" s="43"/>
      <c r="E270" s="44"/>
      <c r="F270" s="44"/>
      <c r="G270" s="44"/>
      <c r="H270" s="45"/>
      <c r="I270" s="54"/>
      <c r="J270" s="47" t="str">
        <f>IF(OR(K270="ERREUR",L270="ERREUR",M270="ERREUR",N270="ERREUR",O270="ERREUR",P270="ERREUR",Q270="ERREUR"),"ERREUR",IF(AND(K270="",L270="",M270="",N270="",O270="",P270="",Q270=""),"ligne vide",IF(OR(K270="",L270="",M270="",N270="",O270="",P270="",Q270=""),"ligne incomplète","Valide")))</f>
        <v xml:space="preserve">ligne vide</v>
      </c>
      <c r="K270" s="48" t="str">
        <f>IF(ISBLANK(B270),IF(ISBLANK(B271),T(B270),"ERREUR"),IF(ISNUMBER(B270),_xlfn.NUMBERVALUE(B270),IF(ISTEXT(B270),VALUE(B270),"ERREUR")))</f>
        <v/>
      </c>
      <c r="L270" s="38" t="str">
        <f>IF(COUNTIF($R$4:$R$6,C270)&gt;0,C270,IF(ISBLANK(C270),IF(ISBLANK(D270),T(C270),"ERREUR"),"ERREUR"))</f>
        <v/>
      </c>
      <c r="M270" s="49" t="str">
        <f>IF(ISBLANK(D270),IF(ISBLANK(D271),T(D270),"ERREUR"),IF(COUNTIF($T$4:$T$240,SUBSTITUTE(SUBSTITUTE(SUBSTITUTE(SUBSTITUTE(SUBSTITUTE(SUBSTITUTE(UPPER(D270),"Å","A"),"É","E"),"È","E"),"Ê","E"),"Î","I"),"Ï","I"))&gt;0,D270,IF(ISBLANK(D270),T(D270),"ERREUR")))</f>
        <v/>
      </c>
      <c r="N270" s="38" t="str">
        <f>IF(COUNTIF($V$4:$V$6,E270)&gt;0,E270,IF(ISBLANK(E270),IF(ISBLANK(E271),T(E270),"ERREUR"),"ERREUR"))</f>
        <v/>
      </c>
      <c r="O270" s="38" t="str">
        <f>IF(COUNTIF($W$4:$W$5,F270)&gt;0,F270,IF(ISBLANK(F270),IF(ISBLANK(F271),T(F270),"ERREUR"),"ERREUR"))</f>
        <v/>
      </c>
      <c r="P270" s="38" t="str">
        <f>IF(COUNTIF($X$4:$X$8,G270)&gt;0,G270,IF(ISBLANK(G270),IF(ISBLANK(G271),T(G270),"ERREUR"),"ERREUR"))</f>
        <v/>
      </c>
      <c r="Q270" s="38" t="str">
        <f>IF(ISNUMBER(H270),IF(INT(H270)=H270,H270,"ERREUR"),IF(ISBLANK(H270),IF(ISBLANK(H271),T(H270),"ERREUR"),"ERREUR"))</f>
        <v/>
      </c>
      <c r="R270" s="38"/>
      <c r="S270" s="38"/>
      <c r="T270" s="38"/>
      <c r="U270" s="39" t="str">
        <f>SUBSTITUTE(SUBSTITUTE(SUBSTITUTE(SUBSTITUTE(SUBSTITUTE(SUBSTITUTE(UPPER(S270),"Å","A"),"É","E"),"È","E"),"Ê","E"),"Î","I"),"Ï","I")</f>
        <v/>
      </c>
      <c r="V270" s="38"/>
      <c r="W270" s="38"/>
      <c r="X270" s="53"/>
      <c r="Y270" s="42"/>
      <c r="Z270" s="42"/>
      <c r="AA270" s="42"/>
    </row>
    <row r="271" ht="13.75" customHeight="1">
      <c r="A271" s="14" t="s">
        <v>140</v>
      </c>
      <c r="B271" s="50"/>
      <c r="C271" s="43"/>
      <c r="D271" s="43"/>
      <c r="E271" s="44"/>
      <c r="F271" s="44"/>
      <c r="G271" s="44"/>
      <c r="H271" s="45"/>
      <c r="I271" s="54"/>
      <c r="J271" s="47" t="str">
        <f>IF(OR(K271="ERREUR",L271="ERREUR",M271="ERREUR",N271="ERREUR",O271="ERREUR",P271="ERREUR",Q271="ERREUR"),"ERREUR",IF(AND(K271="",L271="",M271="",N271="",O271="",P271="",Q271=""),"ligne vide",IF(OR(K271="",L271="",M271="",N271="",O271="",P271="",Q271=""),"ligne incomplète","Valide")))</f>
        <v xml:space="preserve">ligne vide</v>
      </c>
      <c r="K271" s="48" t="str">
        <f>IF(ISBLANK(B271),IF(ISBLANK(B272),T(B271),"ERREUR"),IF(ISNUMBER(B271),_xlfn.NUMBERVALUE(B271),IF(ISTEXT(B271),VALUE(B271),"ERREUR")))</f>
        <v/>
      </c>
      <c r="L271" s="38" t="str">
        <f>IF(COUNTIF($R$4:$R$6,C271)&gt;0,C271,IF(ISBLANK(C271),IF(ISBLANK(D271),T(C271),"ERREUR"),"ERREUR"))</f>
        <v/>
      </c>
      <c r="M271" s="49" t="str">
        <f>IF(ISBLANK(D271),IF(ISBLANK(D272),T(D271),"ERREUR"),IF(COUNTIF($T$4:$T$240,SUBSTITUTE(SUBSTITUTE(SUBSTITUTE(SUBSTITUTE(SUBSTITUTE(SUBSTITUTE(UPPER(D271),"Å","A"),"É","E"),"È","E"),"Ê","E"),"Î","I"),"Ï","I"))&gt;0,D271,IF(ISBLANK(D271),T(D271),"ERREUR")))</f>
        <v/>
      </c>
      <c r="N271" s="38" t="str">
        <f>IF(COUNTIF($V$4:$V$6,E271)&gt;0,E271,IF(ISBLANK(E271),IF(ISBLANK(E272),T(E271),"ERREUR"),"ERREUR"))</f>
        <v/>
      </c>
      <c r="O271" s="38" t="str">
        <f>IF(COUNTIF($W$4:$W$5,F271)&gt;0,F271,IF(ISBLANK(F271),IF(ISBLANK(F272),T(F271),"ERREUR"),"ERREUR"))</f>
        <v/>
      </c>
      <c r="P271" s="38" t="str">
        <f>IF(COUNTIF($X$4:$X$8,G271)&gt;0,G271,IF(ISBLANK(G271),IF(ISBLANK(G272),T(G271),"ERREUR"),"ERREUR"))</f>
        <v/>
      </c>
      <c r="Q271" s="38" t="str">
        <f>IF(ISNUMBER(H271),IF(INT(H271)=H271,H271,"ERREUR"),IF(ISBLANK(H271),IF(ISBLANK(H272),T(H271),"ERREUR"),"ERREUR"))</f>
        <v/>
      </c>
      <c r="R271" s="38"/>
      <c r="S271" s="38"/>
      <c r="T271" s="38"/>
      <c r="U271" s="39" t="str">
        <f>SUBSTITUTE(SUBSTITUTE(SUBSTITUTE(SUBSTITUTE(SUBSTITUTE(SUBSTITUTE(UPPER(S271),"Å","A"),"É","E"),"È","E"),"Ê","E"),"Î","I"),"Ï","I")</f>
        <v/>
      </c>
      <c r="V271" s="38"/>
      <c r="W271" s="38"/>
      <c r="X271" s="53"/>
      <c r="Y271" s="42"/>
      <c r="Z271" s="42"/>
      <c r="AA271" s="42"/>
    </row>
    <row r="272" ht="13.75" customHeight="1">
      <c r="A272" s="14" t="s">
        <v>140</v>
      </c>
      <c r="B272" s="50"/>
      <c r="C272" s="43"/>
      <c r="D272" s="43"/>
      <c r="E272" s="44"/>
      <c r="F272" s="44"/>
      <c r="G272" s="44"/>
      <c r="H272" s="45"/>
      <c r="I272" s="54"/>
      <c r="J272" s="47" t="str">
        <f>IF(OR(K272="ERREUR",L272="ERREUR",M272="ERREUR",N272="ERREUR",O272="ERREUR",P272="ERREUR",Q272="ERREUR"),"ERREUR",IF(AND(K272="",L272="",M272="",N272="",O272="",P272="",Q272=""),"ligne vide",IF(OR(K272="",L272="",M272="",N272="",O272="",P272="",Q272=""),"ligne incomplète","Valide")))</f>
        <v xml:space="preserve">ligne vide</v>
      </c>
      <c r="K272" s="48" t="str">
        <f>IF(ISBLANK(B272),IF(ISBLANK(B273),T(B272),"ERREUR"),IF(ISNUMBER(B272),_xlfn.NUMBERVALUE(B272),IF(ISTEXT(B272),VALUE(B272),"ERREUR")))</f>
        <v/>
      </c>
      <c r="L272" s="38" t="str">
        <f>IF(COUNTIF($R$4:$R$6,C272)&gt;0,C272,IF(ISBLANK(C272),IF(ISBLANK(D272),T(C272),"ERREUR"),"ERREUR"))</f>
        <v/>
      </c>
      <c r="M272" s="49" t="str">
        <f>IF(ISBLANK(D272),IF(ISBLANK(D273),T(D272),"ERREUR"),IF(COUNTIF($T$4:$T$240,SUBSTITUTE(SUBSTITUTE(SUBSTITUTE(SUBSTITUTE(SUBSTITUTE(SUBSTITUTE(UPPER(D272),"Å","A"),"É","E"),"È","E"),"Ê","E"),"Î","I"),"Ï","I"))&gt;0,D272,IF(ISBLANK(D272),T(D272),"ERREUR")))</f>
        <v/>
      </c>
      <c r="N272" s="38" t="str">
        <f>IF(COUNTIF($V$4:$V$6,E272)&gt;0,E272,IF(ISBLANK(E272),IF(ISBLANK(E273),T(E272),"ERREUR"),"ERREUR"))</f>
        <v/>
      </c>
      <c r="O272" s="38" t="str">
        <f>IF(COUNTIF($W$4:$W$5,F272)&gt;0,F272,IF(ISBLANK(F272),IF(ISBLANK(F273),T(F272),"ERREUR"),"ERREUR"))</f>
        <v/>
      </c>
      <c r="P272" s="38" t="str">
        <f>IF(COUNTIF($X$4:$X$8,G272)&gt;0,G272,IF(ISBLANK(G272),IF(ISBLANK(G273),T(G272),"ERREUR"),"ERREUR"))</f>
        <v/>
      </c>
      <c r="Q272" s="38" t="str">
        <f>IF(ISNUMBER(H272),IF(INT(H272)=H272,H272,"ERREUR"),IF(ISBLANK(H272),IF(ISBLANK(H273),T(H272),"ERREUR"),"ERREUR"))</f>
        <v/>
      </c>
      <c r="R272" s="38"/>
      <c r="S272" s="38"/>
      <c r="T272" s="38"/>
      <c r="U272" s="39" t="str">
        <f>SUBSTITUTE(SUBSTITUTE(SUBSTITUTE(SUBSTITUTE(SUBSTITUTE(SUBSTITUTE(UPPER(S272),"Å","A"),"É","E"),"È","E"),"Ê","E"),"Î","I"),"Ï","I")</f>
        <v/>
      </c>
      <c r="V272" s="38"/>
      <c r="W272" s="38"/>
      <c r="X272" s="53"/>
      <c r="Y272" s="42"/>
      <c r="Z272" s="42"/>
      <c r="AA272" s="42"/>
    </row>
    <row r="273" ht="13.75" customHeight="1">
      <c r="A273" s="14" t="s">
        <v>140</v>
      </c>
      <c r="B273" s="50"/>
      <c r="C273" s="43"/>
      <c r="D273" s="43"/>
      <c r="E273" s="44"/>
      <c r="F273" s="44"/>
      <c r="G273" s="44"/>
      <c r="H273" s="45"/>
      <c r="I273" s="54"/>
      <c r="J273" s="47" t="str">
        <f>IF(OR(K273="ERREUR",L273="ERREUR",M273="ERREUR",N273="ERREUR",O273="ERREUR",P273="ERREUR",Q273="ERREUR"),"ERREUR",IF(AND(K273="",L273="",M273="",N273="",O273="",P273="",Q273=""),"ligne vide",IF(OR(K273="",L273="",M273="",N273="",O273="",P273="",Q273=""),"ligne incomplète","Valide")))</f>
        <v xml:space="preserve">ligne vide</v>
      </c>
      <c r="K273" s="48" t="str">
        <f>IF(ISBLANK(B273),IF(ISBLANK(B274),T(B273),"ERREUR"),IF(ISNUMBER(B273),_xlfn.NUMBERVALUE(B273),IF(ISTEXT(B273),VALUE(B273),"ERREUR")))</f>
        <v/>
      </c>
      <c r="L273" s="38" t="str">
        <f>IF(COUNTIF($R$4:$R$6,C273)&gt;0,C273,IF(ISBLANK(C273),IF(ISBLANK(D273),T(C273),"ERREUR"),"ERREUR"))</f>
        <v/>
      </c>
      <c r="M273" s="49" t="str">
        <f>IF(ISBLANK(D273),IF(ISBLANK(D274),T(D273),"ERREUR"),IF(COUNTIF($T$4:$T$240,SUBSTITUTE(SUBSTITUTE(SUBSTITUTE(SUBSTITUTE(SUBSTITUTE(SUBSTITUTE(UPPER(D273),"Å","A"),"É","E"),"È","E"),"Ê","E"),"Î","I"),"Ï","I"))&gt;0,D273,IF(ISBLANK(D273),T(D273),"ERREUR")))</f>
        <v/>
      </c>
      <c r="N273" s="38" t="str">
        <f>IF(COUNTIF($V$4:$V$6,E273)&gt;0,E273,IF(ISBLANK(E273),IF(ISBLANK(E274),T(E273),"ERREUR"),"ERREUR"))</f>
        <v/>
      </c>
      <c r="O273" s="38" t="str">
        <f>IF(COUNTIF($W$4:$W$5,F273)&gt;0,F273,IF(ISBLANK(F273),IF(ISBLANK(F274),T(F273),"ERREUR"),"ERREUR"))</f>
        <v/>
      </c>
      <c r="P273" s="38" t="str">
        <f>IF(COUNTIF($X$4:$X$8,G273)&gt;0,G273,IF(ISBLANK(G273),IF(ISBLANK(G274),T(G273),"ERREUR"),"ERREUR"))</f>
        <v/>
      </c>
      <c r="Q273" s="38" t="str">
        <f>IF(ISNUMBER(H273),IF(INT(H273)=H273,H273,"ERREUR"),IF(ISBLANK(H273),IF(ISBLANK(H274),T(H273),"ERREUR"),"ERREUR"))</f>
        <v/>
      </c>
      <c r="R273" s="38"/>
      <c r="S273" s="38"/>
      <c r="T273" s="38"/>
      <c r="U273" s="39" t="str">
        <f>SUBSTITUTE(SUBSTITUTE(SUBSTITUTE(SUBSTITUTE(SUBSTITUTE(SUBSTITUTE(UPPER(S273),"Å","A"),"É","E"),"È","E"),"Ê","E"),"Î","I"),"Ï","I")</f>
        <v/>
      </c>
      <c r="V273" s="38"/>
      <c r="W273" s="38"/>
      <c r="X273" s="53"/>
      <c r="Y273" s="42"/>
      <c r="Z273" s="42"/>
      <c r="AA273" s="42"/>
    </row>
    <row r="274" ht="13.75" customHeight="1">
      <c r="A274" s="14" t="s">
        <v>140</v>
      </c>
      <c r="B274" s="50"/>
      <c r="C274" s="43"/>
      <c r="D274" s="43"/>
      <c r="E274" s="44"/>
      <c r="F274" s="44"/>
      <c r="G274" s="44"/>
      <c r="H274" s="45"/>
      <c r="I274" s="54"/>
      <c r="J274" s="47" t="str">
        <f>IF(OR(K274="ERREUR",L274="ERREUR",M274="ERREUR",N274="ERREUR",O274="ERREUR",P274="ERREUR",Q274="ERREUR"),"ERREUR",IF(AND(K274="",L274="",M274="",N274="",O274="",P274="",Q274=""),"ligne vide",IF(OR(K274="",L274="",M274="",N274="",O274="",P274="",Q274=""),"ligne incomplète","Valide")))</f>
        <v xml:space="preserve">ligne vide</v>
      </c>
      <c r="K274" s="48" t="str">
        <f>IF(ISBLANK(B274),IF(ISBLANK(B275),T(B274),"ERREUR"),IF(ISNUMBER(B274),_xlfn.NUMBERVALUE(B274),IF(ISTEXT(B274),VALUE(B274),"ERREUR")))</f>
        <v/>
      </c>
      <c r="L274" s="38" t="str">
        <f>IF(COUNTIF($R$4:$R$6,C274)&gt;0,C274,IF(ISBLANK(C274),IF(ISBLANK(D274),T(C274),"ERREUR"),"ERREUR"))</f>
        <v/>
      </c>
      <c r="M274" s="49" t="str">
        <f>IF(ISBLANK(D274),IF(ISBLANK(D275),T(D274),"ERREUR"),IF(COUNTIF($T$4:$T$240,SUBSTITUTE(SUBSTITUTE(SUBSTITUTE(SUBSTITUTE(SUBSTITUTE(SUBSTITUTE(UPPER(D274),"Å","A"),"É","E"),"È","E"),"Ê","E"),"Î","I"),"Ï","I"))&gt;0,D274,IF(ISBLANK(D274),T(D274),"ERREUR")))</f>
        <v/>
      </c>
      <c r="N274" s="38" t="str">
        <f>IF(COUNTIF($V$4:$V$6,E274)&gt;0,E274,IF(ISBLANK(E274),IF(ISBLANK(E275),T(E274),"ERREUR"),"ERREUR"))</f>
        <v/>
      </c>
      <c r="O274" s="38" t="str">
        <f>IF(COUNTIF($W$4:$W$5,F274)&gt;0,F274,IF(ISBLANK(F274),IF(ISBLANK(F275),T(F274),"ERREUR"),"ERREUR"))</f>
        <v/>
      </c>
      <c r="P274" s="38" t="str">
        <f>IF(COUNTIF($X$4:$X$8,G274)&gt;0,G274,IF(ISBLANK(G274),IF(ISBLANK(G275),T(G274),"ERREUR"),"ERREUR"))</f>
        <v/>
      </c>
      <c r="Q274" s="38" t="str">
        <f>IF(ISNUMBER(H274),IF(INT(H274)=H274,H274,"ERREUR"),IF(ISBLANK(H274),IF(ISBLANK(H275),T(H274),"ERREUR"),"ERREUR"))</f>
        <v/>
      </c>
      <c r="R274" s="38"/>
      <c r="S274" s="38"/>
      <c r="T274" s="38"/>
      <c r="U274" s="39" t="str">
        <f>SUBSTITUTE(SUBSTITUTE(SUBSTITUTE(SUBSTITUTE(SUBSTITUTE(SUBSTITUTE(UPPER(S274),"Å","A"),"É","E"),"È","E"),"Ê","E"),"Î","I"),"Ï","I")</f>
        <v/>
      </c>
      <c r="V274" s="38"/>
      <c r="W274" s="38"/>
      <c r="X274" s="53"/>
      <c r="Y274" s="42"/>
      <c r="Z274" s="42"/>
      <c r="AA274" s="42"/>
    </row>
    <row r="275" ht="13.75" customHeight="1">
      <c r="A275" s="14" t="s">
        <v>140</v>
      </c>
      <c r="B275" s="50"/>
      <c r="C275" s="43"/>
      <c r="D275" s="43"/>
      <c r="E275" s="44"/>
      <c r="F275" s="44"/>
      <c r="G275" s="44"/>
      <c r="H275" s="45"/>
      <c r="I275" s="54"/>
      <c r="J275" s="47" t="str">
        <f>IF(OR(K275="ERREUR",L275="ERREUR",M275="ERREUR",N275="ERREUR",O275="ERREUR",P275="ERREUR",Q275="ERREUR"),"ERREUR",IF(AND(K275="",L275="",M275="",N275="",O275="",P275="",Q275=""),"ligne vide",IF(OR(K275="",L275="",M275="",N275="",O275="",P275="",Q275=""),"ligne incomplète","Valide")))</f>
        <v xml:space="preserve">ligne vide</v>
      </c>
      <c r="K275" s="48" t="str">
        <f>IF(ISBLANK(B275),IF(ISBLANK(B276),T(B275),"ERREUR"),IF(ISNUMBER(B275),_xlfn.NUMBERVALUE(B275),IF(ISTEXT(B275),VALUE(B275),"ERREUR")))</f>
        <v/>
      </c>
      <c r="L275" s="38" t="str">
        <f>IF(COUNTIF($R$4:$R$6,C275)&gt;0,C275,IF(ISBLANK(C275),IF(ISBLANK(D275),T(C275),"ERREUR"),"ERREUR"))</f>
        <v/>
      </c>
      <c r="M275" s="49" t="str">
        <f>IF(ISBLANK(D275),IF(ISBLANK(D276),T(D275),"ERREUR"),IF(COUNTIF($T$4:$T$240,SUBSTITUTE(SUBSTITUTE(SUBSTITUTE(SUBSTITUTE(SUBSTITUTE(SUBSTITUTE(UPPER(D275),"Å","A"),"É","E"),"È","E"),"Ê","E"),"Î","I"),"Ï","I"))&gt;0,D275,IF(ISBLANK(D275),T(D275),"ERREUR")))</f>
        <v/>
      </c>
      <c r="N275" s="38" t="str">
        <f>IF(COUNTIF($V$4:$V$6,E275)&gt;0,E275,IF(ISBLANK(E275),IF(ISBLANK(E276),T(E275),"ERREUR"),"ERREUR"))</f>
        <v/>
      </c>
      <c r="O275" s="38" t="str">
        <f>IF(COUNTIF($W$4:$W$5,F275)&gt;0,F275,IF(ISBLANK(F275),IF(ISBLANK(F276),T(F275),"ERREUR"),"ERREUR"))</f>
        <v/>
      </c>
      <c r="P275" s="38" t="str">
        <f>IF(COUNTIF($X$4:$X$8,G275)&gt;0,G275,IF(ISBLANK(G275),IF(ISBLANK(G276),T(G275),"ERREUR"),"ERREUR"))</f>
        <v/>
      </c>
      <c r="Q275" s="38" t="str">
        <f>IF(ISNUMBER(H275),IF(INT(H275)=H275,H275,"ERREUR"),IF(ISBLANK(H275),IF(ISBLANK(H276),T(H275),"ERREUR"),"ERREUR"))</f>
        <v/>
      </c>
      <c r="R275" s="38"/>
      <c r="S275" s="38"/>
      <c r="T275" s="38"/>
      <c r="U275" s="39" t="str">
        <f>SUBSTITUTE(SUBSTITUTE(SUBSTITUTE(SUBSTITUTE(SUBSTITUTE(SUBSTITUTE(UPPER(S275),"Å","A"),"É","E"),"È","E"),"Ê","E"),"Î","I"),"Ï","I")</f>
        <v/>
      </c>
      <c r="V275" s="38"/>
      <c r="W275" s="38"/>
      <c r="X275" s="53"/>
      <c r="Y275" s="42"/>
      <c r="Z275" s="42"/>
      <c r="AA275" s="42"/>
    </row>
    <row r="276" ht="13.75" customHeight="1">
      <c r="A276" s="14" t="s">
        <v>140</v>
      </c>
      <c r="B276" s="50"/>
      <c r="C276" s="43"/>
      <c r="D276" s="43"/>
      <c r="E276" s="44"/>
      <c r="F276" s="44"/>
      <c r="G276" s="44"/>
      <c r="H276" s="45"/>
      <c r="I276" s="54"/>
      <c r="J276" s="47" t="str">
        <f>IF(OR(K276="ERREUR",L276="ERREUR",M276="ERREUR",N276="ERREUR",O276="ERREUR",P276="ERREUR",Q276="ERREUR"),"ERREUR",IF(AND(K276="",L276="",M276="",N276="",O276="",P276="",Q276=""),"ligne vide",IF(OR(K276="",L276="",M276="",N276="",O276="",P276="",Q276=""),"ligne incomplète","Valide")))</f>
        <v xml:space="preserve">ligne vide</v>
      </c>
      <c r="K276" s="48" t="str">
        <f>IF(ISBLANK(B276),IF(ISBLANK(B277),T(B276),"ERREUR"),IF(ISNUMBER(B276),_xlfn.NUMBERVALUE(B276),IF(ISTEXT(B276),VALUE(B276),"ERREUR")))</f>
        <v/>
      </c>
      <c r="L276" s="38" t="str">
        <f>IF(COUNTIF($R$4:$R$6,C276)&gt;0,C276,IF(ISBLANK(C276),IF(ISBLANK(D276),T(C276),"ERREUR"),"ERREUR"))</f>
        <v/>
      </c>
      <c r="M276" s="49" t="str">
        <f>IF(ISBLANK(D276),IF(ISBLANK(D277),T(D276),"ERREUR"),IF(COUNTIF($T$4:$T$240,SUBSTITUTE(SUBSTITUTE(SUBSTITUTE(SUBSTITUTE(SUBSTITUTE(SUBSTITUTE(UPPER(D276),"Å","A"),"É","E"),"È","E"),"Ê","E"),"Î","I"),"Ï","I"))&gt;0,D276,IF(ISBLANK(D276),T(D276),"ERREUR")))</f>
        <v/>
      </c>
      <c r="N276" s="38" t="str">
        <f>IF(COUNTIF($V$4:$V$6,E276)&gt;0,E276,IF(ISBLANK(E276),IF(ISBLANK(E277),T(E276),"ERREUR"),"ERREUR"))</f>
        <v/>
      </c>
      <c r="O276" s="38" t="str">
        <f>IF(COUNTIF($W$4:$W$5,F276)&gt;0,F276,IF(ISBLANK(F276),IF(ISBLANK(F277),T(F276),"ERREUR"),"ERREUR"))</f>
        <v/>
      </c>
      <c r="P276" s="38" t="str">
        <f>IF(COUNTIF($X$4:$X$8,G276)&gt;0,G276,IF(ISBLANK(G276),IF(ISBLANK(G277),T(G276),"ERREUR"),"ERREUR"))</f>
        <v/>
      </c>
      <c r="Q276" s="38" t="str">
        <f>IF(ISNUMBER(H276),IF(INT(H276)=H276,H276,"ERREUR"),IF(ISBLANK(H276),IF(ISBLANK(H277),T(H276),"ERREUR"),"ERREUR"))</f>
        <v/>
      </c>
      <c r="R276" s="38"/>
      <c r="S276" s="38"/>
      <c r="T276" s="38"/>
      <c r="U276" s="39" t="str">
        <f>SUBSTITUTE(SUBSTITUTE(SUBSTITUTE(SUBSTITUTE(SUBSTITUTE(SUBSTITUTE(UPPER(S276),"Å","A"),"É","E"),"È","E"),"Ê","E"),"Î","I"),"Ï","I")</f>
        <v/>
      </c>
      <c r="V276" s="38"/>
      <c r="W276" s="38"/>
      <c r="X276" s="53"/>
      <c r="Y276" s="42"/>
      <c r="Z276" s="42"/>
      <c r="AA276" s="42"/>
    </row>
    <row r="277" ht="13.75" customHeight="1">
      <c r="A277" s="14" t="s">
        <v>140</v>
      </c>
      <c r="B277" s="50"/>
      <c r="C277" s="43"/>
      <c r="D277" s="43"/>
      <c r="E277" s="44"/>
      <c r="F277" s="44"/>
      <c r="G277" s="44"/>
      <c r="H277" s="45"/>
      <c r="I277" s="54"/>
      <c r="J277" s="47" t="str">
        <f>IF(OR(K277="ERREUR",L277="ERREUR",M277="ERREUR",N277="ERREUR",O277="ERREUR",P277="ERREUR",Q277="ERREUR"),"ERREUR",IF(AND(K277="",L277="",M277="",N277="",O277="",P277="",Q277=""),"ligne vide",IF(OR(K277="",L277="",M277="",N277="",O277="",P277="",Q277=""),"ligne incomplète","Valide")))</f>
        <v xml:space="preserve">ligne vide</v>
      </c>
      <c r="K277" s="48" t="str">
        <f>IF(ISBLANK(B277),IF(ISBLANK(B278),T(B277),"ERREUR"),IF(ISNUMBER(B277),_xlfn.NUMBERVALUE(B277),IF(ISTEXT(B277),VALUE(B277),"ERREUR")))</f>
        <v/>
      </c>
      <c r="L277" s="38" t="str">
        <f>IF(COUNTIF($R$4:$R$6,C277)&gt;0,C277,IF(ISBLANK(C277),IF(ISBLANK(D277),T(C277),"ERREUR"),"ERREUR"))</f>
        <v/>
      </c>
      <c r="M277" s="49" t="str">
        <f>IF(ISBLANK(D277),IF(ISBLANK(D278),T(D277),"ERREUR"),IF(COUNTIF($T$4:$T$240,SUBSTITUTE(SUBSTITUTE(SUBSTITUTE(SUBSTITUTE(SUBSTITUTE(SUBSTITUTE(UPPER(D277),"Å","A"),"É","E"),"È","E"),"Ê","E"),"Î","I"),"Ï","I"))&gt;0,D277,IF(ISBLANK(D277),T(D277),"ERREUR")))</f>
        <v/>
      </c>
      <c r="N277" s="38" t="str">
        <f>IF(COUNTIF($V$4:$V$6,E277)&gt;0,E277,IF(ISBLANK(E277),IF(ISBLANK(E278),T(E277),"ERREUR"),"ERREUR"))</f>
        <v/>
      </c>
      <c r="O277" s="38" t="str">
        <f>IF(COUNTIF($W$4:$W$5,F277)&gt;0,F277,IF(ISBLANK(F277),IF(ISBLANK(F278),T(F277),"ERREUR"),"ERREUR"))</f>
        <v/>
      </c>
      <c r="P277" s="38" t="str">
        <f>IF(COUNTIF($X$4:$X$8,G277)&gt;0,G277,IF(ISBLANK(G277),IF(ISBLANK(G278),T(G277),"ERREUR"),"ERREUR"))</f>
        <v/>
      </c>
      <c r="Q277" s="38" t="str">
        <f>IF(ISNUMBER(H277),IF(INT(H277)=H277,H277,"ERREUR"),IF(ISBLANK(H277),IF(ISBLANK(H278),T(H277),"ERREUR"),"ERREUR"))</f>
        <v/>
      </c>
      <c r="R277" s="38"/>
      <c r="S277" s="38"/>
      <c r="T277" s="38"/>
      <c r="U277" s="39" t="str">
        <f>SUBSTITUTE(SUBSTITUTE(SUBSTITUTE(SUBSTITUTE(SUBSTITUTE(SUBSTITUTE(UPPER(S277),"Å","A"),"É","E"),"È","E"),"Ê","E"),"Î","I"),"Ï","I")</f>
        <v/>
      </c>
      <c r="V277" s="38"/>
      <c r="W277" s="38"/>
      <c r="X277" s="53"/>
      <c r="Y277" s="42"/>
      <c r="Z277" s="42"/>
      <c r="AA277" s="42"/>
    </row>
    <row r="278" ht="13.75" customHeight="1">
      <c r="A278" s="14" t="s">
        <v>140</v>
      </c>
      <c r="B278" s="50"/>
      <c r="C278" s="43"/>
      <c r="D278" s="43"/>
      <c r="E278" s="44"/>
      <c r="F278" s="44"/>
      <c r="G278" s="44"/>
      <c r="H278" s="45"/>
      <c r="I278" s="54"/>
      <c r="J278" s="47" t="str">
        <f>IF(OR(K278="ERREUR",L278="ERREUR",M278="ERREUR",N278="ERREUR",O278="ERREUR",P278="ERREUR",Q278="ERREUR"),"ERREUR",IF(AND(K278="",L278="",M278="",N278="",O278="",P278="",Q278=""),"ligne vide",IF(OR(K278="",L278="",M278="",N278="",O278="",P278="",Q278=""),"ligne incomplète","Valide")))</f>
        <v xml:space="preserve">ligne vide</v>
      </c>
      <c r="K278" s="48" t="str">
        <f>IF(ISBLANK(B278),IF(ISBLANK(B279),T(B278),"ERREUR"),IF(ISNUMBER(B278),_xlfn.NUMBERVALUE(B278),IF(ISTEXT(B278),VALUE(B278),"ERREUR")))</f>
        <v/>
      </c>
      <c r="L278" s="38" t="str">
        <f>IF(COUNTIF($R$4:$R$6,C278)&gt;0,C278,IF(ISBLANK(C278),IF(ISBLANK(D278),T(C278),"ERREUR"),"ERREUR"))</f>
        <v/>
      </c>
      <c r="M278" s="49" t="str">
        <f>IF(ISBLANK(D278),IF(ISBLANK(D279),T(D278),"ERREUR"),IF(COUNTIF($T$4:$T$240,SUBSTITUTE(SUBSTITUTE(SUBSTITUTE(SUBSTITUTE(SUBSTITUTE(SUBSTITUTE(UPPER(D278),"Å","A"),"É","E"),"È","E"),"Ê","E"),"Î","I"),"Ï","I"))&gt;0,D278,IF(ISBLANK(D278),T(D278),"ERREUR")))</f>
        <v/>
      </c>
      <c r="N278" s="38" t="str">
        <f>IF(COUNTIF($V$4:$V$6,E278)&gt;0,E278,IF(ISBLANK(E278),IF(ISBLANK(E279),T(E278),"ERREUR"),"ERREUR"))</f>
        <v/>
      </c>
      <c r="O278" s="38" t="str">
        <f>IF(COUNTIF($W$4:$W$5,F278)&gt;0,F278,IF(ISBLANK(F278),IF(ISBLANK(F279),T(F278),"ERREUR"),"ERREUR"))</f>
        <v/>
      </c>
      <c r="P278" s="38" t="str">
        <f>IF(COUNTIF($X$4:$X$8,G278)&gt;0,G278,IF(ISBLANK(G278),IF(ISBLANK(G279),T(G278),"ERREUR"),"ERREUR"))</f>
        <v/>
      </c>
      <c r="Q278" s="38" t="str">
        <f>IF(ISNUMBER(H278),IF(INT(H278)=H278,H278,"ERREUR"),IF(ISBLANK(H278),IF(ISBLANK(H279),T(H278),"ERREUR"),"ERREUR"))</f>
        <v/>
      </c>
      <c r="R278" s="38"/>
      <c r="S278" s="38"/>
      <c r="T278" s="38"/>
      <c r="U278" s="39" t="str">
        <f>SUBSTITUTE(SUBSTITUTE(SUBSTITUTE(SUBSTITUTE(SUBSTITUTE(SUBSTITUTE(UPPER(S278),"Å","A"),"É","E"),"È","E"),"Ê","E"),"Î","I"),"Ï","I")</f>
        <v/>
      </c>
      <c r="V278" s="38"/>
      <c r="W278" s="38"/>
      <c r="X278" s="53"/>
      <c r="Y278" s="42"/>
      <c r="Z278" s="42"/>
      <c r="AA278" s="42"/>
    </row>
    <row r="279" ht="13.75" customHeight="1">
      <c r="A279" s="14" t="s">
        <v>140</v>
      </c>
      <c r="B279" s="50"/>
      <c r="C279" s="43"/>
      <c r="D279" s="43"/>
      <c r="E279" s="44"/>
      <c r="F279" s="44"/>
      <c r="G279" s="44"/>
      <c r="H279" s="45"/>
      <c r="I279" s="54"/>
      <c r="J279" s="47" t="str">
        <f>IF(OR(K279="ERREUR",L279="ERREUR",M279="ERREUR",N279="ERREUR",O279="ERREUR",P279="ERREUR",Q279="ERREUR"),"ERREUR",IF(AND(K279="",L279="",M279="",N279="",O279="",P279="",Q279=""),"ligne vide",IF(OR(K279="",L279="",M279="",N279="",O279="",P279="",Q279=""),"ligne incomplète","Valide")))</f>
        <v xml:space="preserve">ligne vide</v>
      </c>
      <c r="K279" s="48" t="str">
        <f>IF(ISBLANK(B279),IF(ISBLANK(B280),T(B279),"ERREUR"),IF(ISNUMBER(B279),_xlfn.NUMBERVALUE(B279),IF(ISTEXT(B279),VALUE(B279),"ERREUR")))</f>
        <v/>
      </c>
      <c r="L279" s="38" t="str">
        <f>IF(COUNTIF($R$4:$R$6,C279)&gt;0,C279,IF(ISBLANK(C279),IF(ISBLANK(D279),T(C279),"ERREUR"),"ERREUR"))</f>
        <v/>
      </c>
      <c r="M279" s="49" t="str">
        <f>IF(ISBLANK(D279),IF(ISBLANK(D280),T(D279),"ERREUR"),IF(COUNTIF($T$4:$T$240,SUBSTITUTE(SUBSTITUTE(SUBSTITUTE(SUBSTITUTE(SUBSTITUTE(SUBSTITUTE(UPPER(D279),"Å","A"),"É","E"),"È","E"),"Ê","E"),"Î","I"),"Ï","I"))&gt;0,D279,IF(ISBLANK(D279),T(D279),"ERREUR")))</f>
        <v/>
      </c>
      <c r="N279" s="38" t="str">
        <f>IF(COUNTIF($V$4:$V$6,E279)&gt;0,E279,IF(ISBLANK(E279),IF(ISBLANK(E280),T(E279),"ERREUR"),"ERREUR"))</f>
        <v/>
      </c>
      <c r="O279" s="38" t="str">
        <f>IF(COUNTIF($W$4:$W$5,F279)&gt;0,F279,IF(ISBLANK(F279),IF(ISBLANK(F280),T(F279),"ERREUR"),"ERREUR"))</f>
        <v/>
      </c>
      <c r="P279" s="38" t="str">
        <f>IF(COUNTIF($X$4:$X$8,G279)&gt;0,G279,IF(ISBLANK(G279),IF(ISBLANK(G280),T(G279),"ERREUR"),"ERREUR"))</f>
        <v/>
      </c>
      <c r="Q279" s="38" t="str">
        <f>IF(ISNUMBER(H279),IF(INT(H279)=H279,H279,"ERREUR"),IF(ISBLANK(H279),IF(ISBLANK(H280),T(H279),"ERREUR"),"ERREUR"))</f>
        <v/>
      </c>
      <c r="R279" s="38"/>
      <c r="S279" s="38"/>
      <c r="T279" s="38"/>
      <c r="U279" s="39" t="str">
        <f>SUBSTITUTE(SUBSTITUTE(SUBSTITUTE(SUBSTITUTE(SUBSTITUTE(SUBSTITUTE(UPPER(S279),"Å","A"),"É","E"),"È","E"),"Ê","E"),"Î","I"),"Ï","I")</f>
        <v/>
      </c>
      <c r="V279" s="38"/>
      <c r="W279" s="38"/>
      <c r="X279" s="53"/>
      <c r="Y279" s="42"/>
      <c r="Z279" s="42"/>
      <c r="AA279" s="42"/>
    </row>
    <row r="280" ht="13.75" customHeight="1">
      <c r="A280" s="14" t="s">
        <v>140</v>
      </c>
      <c r="B280" s="50"/>
      <c r="C280" s="43"/>
      <c r="D280" s="43"/>
      <c r="E280" s="44"/>
      <c r="F280" s="44"/>
      <c r="G280" s="44"/>
      <c r="H280" s="45"/>
      <c r="I280" s="54"/>
      <c r="J280" s="47" t="str">
        <f>IF(OR(K280="ERREUR",L280="ERREUR",M280="ERREUR",N280="ERREUR",O280="ERREUR",P280="ERREUR",Q280="ERREUR"),"ERREUR",IF(AND(K280="",L280="",M280="",N280="",O280="",P280="",Q280=""),"ligne vide",IF(OR(K280="",L280="",M280="",N280="",O280="",P280="",Q280=""),"ligne incomplète","Valide")))</f>
        <v xml:space="preserve">ligne vide</v>
      </c>
      <c r="K280" s="48" t="str">
        <f>IF(ISBLANK(B280),IF(ISBLANK(B281),T(B280),"ERREUR"),IF(ISNUMBER(B280),_xlfn.NUMBERVALUE(B280),IF(ISTEXT(B280),VALUE(B280),"ERREUR")))</f>
        <v/>
      </c>
      <c r="L280" s="38" t="str">
        <f>IF(COUNTIF($R$4:$R$6,C280)&gt;0,C280,IF(ISBLANK(C280),IF(ISBLANK(D280),T(C280),"ERREUR"),"ERREUR"))</f>
        <v/>
      </c>
      <c r="M280" s="49" t="str">
        <f>IF(ISBLANK(D280),IF(ISBLANK(D281),T(D280),"ERREUR"),IF(COUNTIF($T$4:$T$240,SUBSTITUTE(SUBSTITUTE(SUBSTITUTE(SUBSTITUTE(SUBSTITUTE(SUBSTITUTE(UPPER(D280),"Å","A"),"É","E"),"È","E"),"Ê","E"),"Î","I"),"Ï","I"))&gt;0,D280,IF(ISBLANK(D280),T(D280),"ERREUR")))</f>
        <v/>
      </c>
      <c r="N280" s="38" t="str">
        <f>IF(COUNTIF($V$4:$V$6,E280)&gt;0,E280,IF(ISBLANK(E280),IF(ISBLANK(E281),T(E280),"ERREUR"),"ERREUR"))</f>
        <v/>
      </c>
      <c r="O280" s="38" t="str">
        <f>IF(COUNTIF($W$4:$W$5,F280)&gt;0,F280,IF(ISBLANK(F280),IF(ISBLANK(F281),T(F280),"ERREUR"),"ERREUR"))</f>
        <v/>
      </c>
      <c r="P280" s="38" t="str">
        <f>IF(COUNTIF($X$4:$X$8,G280)&gt;0,G280,IF(ISBLANK(G280),IF(ISBLANK(G281),T(G280),"ERREUR"),"ERREUR"))</f>
        <v/>
      </c>
      <c r="Q280" s="38" t="str">
        <f>IF(ISNUMBER(H280),IF(INT(H280)=H280,H280,"ERREUR"),IF(ISBLANK(H280),IF(ISBLANK(H281),T(H280),"ERREUR"),"ERREUR"))</f>
        <v/>
      </c>
      <c r="R280" s="38"/>
      <c r="S280" s="38"/>
      <c r="T280" s="38"/>
      <c r="U280" s="39" t="str">
        <f>SUBSTITUTE(SUBSTITUTE(SUBSTITUTE(SUBSTITUTE(SUBSTITUTE(SUBSTITUTE(UPPER(S280),"Å","A"),"É","E"),"È","E"),"Ê","E"),"Î","I"),"Ï","I")</f>
        <v/>
      </c>
      <c r="V280" s="38"/>
      <c r="W280" s="38"/>
      <c r="X280" s="53"/>
      <c r="Y280" s="42"/>
      <c r="Z280" s="42"/>
      <c r="AA280" s="42"/>
    </row>
    <row r="281" ht="13.75" customHeight="1">
      <c r="A281" s="14" t="s">
        <v>140</v>
      </c>
      <c r="B281" s="50"/>
      <c r="C281" s="43"/>
      <c r="D281" s="43"/>
      <c r="E281" s="44"/>
      <c r="F281" s="44"/>
      <c r="G281" s="44"/>
      <c r="H281" s="45"/>
      <c r="I281" s="54"/>
      <c r="J281" s="47" t="str">
        <f>IF(OR(K281="ERREUR",L281="ERREUR",M281="ERREUR",N281="ERREUR",O281="ERREUR",P281="ERREUR",Q281="ERREUR"),"ERREUR",IF(AND(K281="",L281="",M281="",N281="",O281="",P281="",Q281=""),"ligne vide",IF(OR(K281="",L281="",M281="",N281="",O281="",P281="",Q281=""),"ligne incomplète","Valide")))</f>
        <v xml:space="preserve">ligne vide</v>
      </c>
      <c r="K281" s="48" t="str">
        <f>IF(ISBLANK(B281),IF(ISBLANK(B282),T(B281),"ERREUR"),IF(ISNUMBER(B281),_xlfn.NUMBERVALUE(B281),IF(ISTEXT(B281),VALUE(B281),"ERREUR")))</f>
        <v/>
      </c>
      <c r="L281" s="38" t="str">
        <f>IF(COUNTIF($R$4:$R$6,C281)&gt;0,C281,IF(ISBLANK(C281),IF(ISBLANK(D281),T(C281),"ERREUR"),"ERREUR"))</f>
        <v/>
      </c>
      <c r="M281" s="49" t="str">
        <f>IF(ISBLANK(D281),IF(ISBLANK(D282),T(D281),"ERREUR"),IF(COUNTIF($T$4:$T$240,SUBSTITUTE(SUBSTITUTE(SUBSTITUTE(SUBSTITUTE(SUBSTITUTE(SUBSTITUTE(UPPER(D281),"Å","A"),"É","E"),"È","E"),"Ê","E"),"Î","I"),"Ï","I"))&gt;0,D281,IF(ISBLANK(D281),T(D281),"ERREUR")))</f>
        <v/>
      </c>
      <c r="N281" s="38" t="str">
        <f>IF(COUNTIF($V$4:$V$6,E281)&gt;0,E281,IF(ISBLANK(E281),IF(ISBLANK(E282),T(E281),"ERREUR"),"ERREUR"))</f>
        <v/>
      </c>
      <c r="O281" s="38" t="str">
        <f>IF(COUNTIF($W$4:$W$5,F281)&gt;0,F281,IF(ISBLANK(F281),IF(ISBLANK(F282),T(F281),"ERREUR"),"ERREUR"))</f>
        <v/>
      </c>
      <c r="P281" s="38" t="str">
        <f>IF(COUNTIF($X$4:$X$8,G281)&gt;0,G281,IF(ISBLANK(G281),IF(ISBLANK(G282),T(G281),"ERREUR"),"ERREUR"))</f>
        <v/>
      </c>
      <c r="Q281" s="38" t="str">
        <f>IF(ISNUMBER(H281),IF(INT(H281)=H281,H281,"ERREUR"),IF(ISBLANK(H281),IF(ISBLANK(H282),T(H281),"ERREUR"),"ERREUR"))</f>
        <v/>
      </c>
      <c r="R281" s="38"/>
      <c r="S281" s="38"/>
      <c r="T281" s="38"/>
      <c r="U281" s="39" t="str">
        <f>SUBSTITUTE(SUBSTITUTE(SUBSTITUTE(SUBSTITUTE(SUBSTITUTE(SUBSTITUTE(UPPER(S281),"Å","A"),"É","E"),"È","E"),"Ê","E"),"Î","I"),"Ï","I")</f>
        <v/>
      </c>
      <c r="V281" s="38"/>
      <c r="W281" s="38"/>
      <c r="X281" s="53"/>
      <c r="Y281" s="42"/>
      <c r="Z281" s="42"/>
      <c r="AA281" s="42"/>
    </row>
    <row r="282" ht="13.75" customHeight="1">
      <c r="A282" s="14" t="s">
        <v>140</v>
      </c>
      <c r="B282" s="50"/>
      <c r="C282" s="43"/>
      <c r="D282" s="43"/>
      <c r="E282" s="44"/>
      <c r="F282" s="44"/>
      <c r="G282" s="44"/>
      <c r="H282" s="45"/>
      <c r="I282" s="54"/>
      <c r="J282" s="47" t="str">
        <f>IF(OR(K282="ERREUR",L282="ERREUR",M282="ERREUR",N282="ERREUR",O282="ERREUR",P282="ERREUR",Q282="ERREUR"),"ERREUR",IF(AND(K282="",L282="",M282="",N282="",O282="",P282="",Q282=""),"ligne vide",IF(OR(K282="",L282="",M282="",N282="",O282="",P282="",Q282=""),"ligne incomplète","Valide")))</f>
        <v xml:space="preserve">ligne vide</v>
      </c>
      <c r="K282" s="48" t="str">
        <f>IF(ISBLANK(B282),IF(ISBLANK(B283),T(B282),"ERREUR"),IF(ISNUMBER(B282),_xlfn.NUMBERVALUE(B282),IF(ISTEXT(B282),VALUE(B282),"ERREUR")))</f>
        <v/>
      </c>
      <c r="L282" s="38" t="str">
        <f>IF(COUNTIF($R$4:$R$6,C282)&gt;0,C282,IF(ISBLANK(C282),IF(ISBLANK(D282),T(C282),"ERREUR"),"ERREUR"))</f>
        <v/>
      </c>
      <c r="M282" s="49" t="str">
        <f>IF(ISBLANK(D282),IF(ISBLANK(D283),T(D282),"ERREUR"),IF(COUNTIF($T$4:$T$240,SUBSTITUTE(SUBSTITUTE(SUBSTITUTE(SUBSTITUTE(SUBSTITUTE(SUBSTITUTE(UPPER(D282),"Å","A"),"É","E"),"È","E"),"Ê","E"),"Î","I"),"Ï","I"))&gt;0,D282,IF(ISBLANK(D282),T(D282),"ERREUR")))</f>
        <v/>
      </c>
      <c r="N282" s="38" t="str">
        <f>IF(COUNTIF($V$4:$V$6,E282)&gt;0,E282,IF(ISBLANK(E282),IF(ISBLANK(E283),T(E282),"ERREUR"),"ERREUR"))</f>
        <v/>
      </c>
      <c r="O282" s="38" t="str">
        <f>IF(COUNTIF($W$4:$W$5,F282)&gt;0,F282,IF(ISBLANK(F282),IF(ISBLANK(F283),T(F282),"ERREUR"),"ERREUR"))</f>
        <v/>
      </c>
      <c r="P282" s="38" t="str">
        <f>IF(COUNTIF($X$4:$X$8,G282)&gt;0,G282,IF(ISBLANK(G282),IF(ISBLANK(G283),T(G282),"ERREUR"),"ERREUR"))</f>
        <v/>
      </c>
      <c r="Q282" s="38" t="str">
        <f>IF(ISNUMBER(H282),IF(INT(H282)=H282,H282,"ERREUR"),IF(ISBLANK(H282),IF(ISBLANK(H283),T(H282),"ERREUR"),"ERREUR"))</f>
        <v/>
      </c>
      <c r="R282" s="38"/>
      <c r="S282" s="38"/>
      <c r="T282" s="38"/>
      <c r="U282" s="39" t="str">
        <f>SUBSTITUTE(SUBSTITUTE(SUBSTITUTE(SUBSTITUTE(SUBSTITUTE(SUBSTITUTE(UPPER(S282),"Å","A"),"É","E"),"È","E"),"Ê","E"),"Î","I"),"Ï","I")</f>
        <v/>
      </c>
      <c r="V282" s="38"/>
      <c r="W282" s="38"/>
      <c r="X282" s="53"/>
      <c r="Y282" s="42"/>
      <c r="Z282" s="42"/>
      <c r="AA282" s="42"/>
    </row>
    <row r="283" ht="13.75" customHeight="1">
      <c r="A283" s="14" t="s">
        <v>140</v>
      </c>
      <c r="B283" s="50"/>
      <c r="C283" s="43"/>
      <c r="D283" s="43"/>
      <c r="E283" s="44"/>
      <c r="F283" s="44"/>
      <c r="G283" s="44"/>
      <c r="H283" s="45"/>
      <c r="I283" s="54"/>
      <c r="J283" s="47" t="str">
        <f>IF(OR(K283="ERREUR",L283="ERREUR",M283="ERREUR",N283="ERREUR",O283="ERREUR",P283="ERREUR",Q283="ERREUR"),"ERREUR",IF(AND(K283="",L283="",M283="",N283="",O283="",P283="",Q283=""),"ligne vide",IF(OR(K283="",L283="",M283="",N283="",O283="",P283="",Q283=""),"ligne incomplète","Valide")))</f>
        <v xml:space="preserve">ligne vide</v>
      </c>
      <c r="K283" s="48" t="str">
        <f>IF(ISBLANK(B283),IF(ISBLANK(B284),T(B283),"ERREUR"),IF(ISNUMBER(B283),_xlfn.NUMBERVALUE(B283),IF(ISTEXT(B283),VALUE(B283),"ERREUR")))</f>
        <v/>
      </c>
      <c r="L283" s="38" t="str">
        <f>IF(COUNTIF($R$4:$R$6,C283)&gt;0,C283,IF(ISBLANK(C283),IF(ISBLANK(D283),T(C283),"ERREUR"),"ERREUR"))</f>
        <v/>
      </c>
      <c r="M283" s="49" t="str">
        <f>IF(ISBLANK(D283),IF(ISBLANK(D284),T(D283),"ERREUR"),IF(COUNTIF($T$4:$T$240,SUBSTITUTE(SUBSTITUTE(SUBSTITUTE(SUBSTITUTE(SUBSTITUTE(SUBSTITUTE(UPPER(D283),"Å","A"),"É","E"),"È","E"),"Ê","E"),"Î","I"),"Ï","I"))&gt;0,D283,IF(ISBLANK(D283),T(D283),"ERREUR")))</f>
        <v/>
      </c>
      <c r="N283" s="38" t="str">
        <f>IF(COUNTIF($V$4:$V$6,E283)&gt;0,E283,IF(ISBLANK(E283),IF(ISBLANK(E284),T(E283),"ERREUR"),"ERREUR"))</f>
        <v/>
      </c>
      <c r="O283" s="38" t="str">
        <f>IF(COUNTIF($W$4:$W$5,F283)&gt;0,F283,IF(ISBLANK(F283),IF(ISBLANK(F284),T(F283),"ERREUR"),"ERREUR"))</f>
        <v/>
      </c>
      <c r="P283" s="38" t="str">
        <f>IF(COUNTIF($X$4:$X$8,G283)&gt;0,G283,IF(ISBLANK(G283),IF(ISBLANK(G284),T(G283),"ERREUR"),"ERREUR"))</f>
        <v/>
      </c>
      <c r="Q283" s="38" t="str">
        <f>IF(ISNUMBER(H283),IF(INT(H283)=H283,H283,"ERREUR"),IF(ISBLANK(H283),IF(ISBLANK(H284),T(H283),"ERREUR"),"ERREUR"))</f>
        <v/>
      </c>
      <c r="R283" s="38"/>
      <c r="S283" s="38"/>
      <c r="T283" s="38"/>
      <c r="U283" s="39" t="str">
        <f>SUBSTITUTE(SUBSTITUTE(SUBSTITUTE(SUBSTITUTE(SUBSTITUTE(SUBSTITUTE(UPPER(S283),"Å","A"),"É","E"),"È","E"),"Ê","E"),"Î","I"),"Ï","I")</f>
        <v/>
      </c>
      <c r="V283" s="38"/>
      <c r="W283" s="38"/>
      <c r="X283" s="53"/>
      <c r="Y283" s="42"/>
      <c r="Z283" s="42"/>
      <c r="AA283" s="42"/>
    </row>
    <row r="284" ht="13.75" customHeight="1">
      <c r="A284" s="14" t="s">
        <v>140</v>
      </c>
      <c r="B284" s="50"/>
      <c r="C284" s="43"/>
      <c r="D284" s="43"/>
      <c r="E284" s="44"/>
      <c r="F284" s="44"/>
      <c r="G284" s="44"/>
      <c r="H284" s="45"/>
      <c r="I284" s="54"/>
      <c r="J284" s="47" t="str">
        <f>IF(OR(K284="ERREUR",L284="ERREUR",M284="ERREUR",N284="ERREUR",O284="ERREUR",P284="ERREUR",Q284="ERREUR"),"ERREUR",IF(AND(K284="",L284="",M284="",N284="",O284="",P284="",Q284=""),"ligne vide",IF(OR(K284="",L284="",M284="",N284="",O284="",P284="",Q284=""),"ligne incomplète","Valide")))</f>
        <v xml:space="preserve">ligne vide</v>
      </c>
      <c r="K284" s="48" t="str">
        <f>IF(ISBLANK(B284),IF(ISBLANK(B285),T(B284),"ERREUR"),IF(ISNUMBER(B284),_xlfn.NUMBERVALUE(B284),IF(ISTEXT(B284),VALUE(B284),"ERREUR")))</f>
        <v/>
      </c>
      <c r="L284" s="38" t="str">
        <f>IF(COUNTIF($R$4:$R$6,C284)&gt;0,C284,IF(ISBLANK(C284),IF(ISBLANK(D284),T(C284),"ERREUR"),"ERREUR"))</f>
        <v/>
      </c>
      <c r="M284" s="49" t="str">
        <f>IF(ISBLANK(D284),IF(ISBLANK(D285),T(D284),"ERREUR"),IF(COUNTIF($T$4:$T$240,SUBSTITUTE(SUBSTITUTE(SUBSTITUTE(SUBSTITUTE(SUBSTITUTE(SUBSTITUTE(UPPER(D284),"Å","A"),"É","E"),"È","E"),"Ê","E"),"Î","I"),"Ï","I"))&gt;0,D284,IF(ISBLANK(D284),T(D284),"ERREUR")))</f>
        <v/>
      </c>
      <c r="N284" s="38" t="str">
        <f>IF(COUNTIF($V$4:$V$6,E284)&gt;0,E284,IF(ISBLANK(E284),IF(ISBLANK(E285),T(E284),"ERREUR"),"ERREUR"))</f>
        <v/>
      </c>
      <c r="O284" s="38" t="str">
        <f>IF(COUNTIF($W$4:$W$5,F284)&gt;0,F284,IF(ISBLANK(F284),IF(ISBLANK(F285),T(F284),"ERREUR"),"ERREUR"))</f>
        <v/>
      </c>
      <c r="P284" s="38" t="str">
        <f>IF(COUNTIF($X$4:$X$8,G284)&gt;0,G284,IF(ISBLANK(G284),IF(ISBLANK(G285),T(G284),"ERREUR"),"ERREUR"))</f>
        <v/>
      </c>
      <c r="Q284" s="38" t="str">
        <f>IF(ISNUMBER(H284),IF(INT(H284)=H284,H284,"ERREUR"),IF(ISBLANK(H284),IF(ISBLANK(H285),T(H284),"ERREUR"),"ERREUR"))</f>
        <v/>
      </c>
      <c r="R284" s="38"/>
      <c r="S284" s="38"/>
      <c r="T284" s="38"/>
      <c r="U284" s="39" t="str">
        <f>SUBSTITUTE(SUBSTITUTE(SUBSTITUTE(SUBSTITUTE(SUBSTITUTE(SUBSTITUTE(UPPER(S284),"Å","A"),"É","E"),"È","E"),"Ê","E"),"Î","I"),"Ï","I")</f>
        <v/>
      </c>
      <c r="V284" s="38"/>
      <c r="W284" s="38"/>
      <c r="X284" s="53"/>
      <c r="Y284" s="42"/>
      <c r="Z284" s="42"/>
      <c r="AA284" s="42"/>
    </row>
    <row r="285" ht="13.75" customHeight="1">
      <c r="A285" s="14" t="s">
        <v>140</v>
      </c>
      <c r="B285" s="50"/>
      <c r="C285" s="43"/>
      <c r="D285" s="43"/>
      <c r="E285" s="44"/>
      <c r="F285" s="44"/>
      <c r="G285" s="44"/>
      <c r="H285" s="45"/>
      <c r="I285" s="54"/>
      <c r="J285" s="47" t="str">
        <f>IF(OR(K285="ERREUR",L285="ERREUR",M285="ERREUR",N285="ERREUR",O285="ERREUR",P285="ERREUR",Q285="ERREUR"),"ERREUR",IF(AND(K285="",L285="",M285="",N285="",O285="",P285="",Q285=""),"ligne vide",IF(OR(K285="",L285="",M285="",N285="",O285="",P285="",Q285=""),"ligne incomplète","Valide")))</f>
        <v xml:space="preserve">ligne vide</v>
      </c>
      <c r="K285" s="48" t="str">
        <f>IF(ISBLANK(B285),IF(ISBLANK(B286),T(B285),"ERREUR"),IF(ISNUMBER(B285),_xlfn.NUMBERVALUE(B285),IF(ISTEXT(B285),VALUE(B285),"ERREUR")))</f>
        <v/>
      </c>
      <c r="L285" s="38" t="str">
        <f>IF(COUNTIF($R$4:$R$6,C285)&gt;0,C285,IF(ISBLANK(C285),IF(ISBLANK(D285),T(C285),"ERREUR"),"ERREUR"))</f>
        <v/>
      </c>
      <c r="M285" s="49" t="str">
        <f>IF(ISBLANK(D285),IF(ISBLANK(D286),T(D285),"ERREUR"),IF(COUNTIF($T$4:$T$240,SUBSTITUTE(SUBSTITUTE(SUBSTITUTE(SUBSTITUTE(SUBSTITUTE(SUBSTITUTE(UPPER(D285),"Å","A"),"É","E"),"È","E"),"Ê","E"),"Î","I"),"Ï","I"))&gt;0,D285,IF(ISBLANK(D285),T(D285),"ERREUR")))</f>
        <v/>
      </c>
      <c r="N285" s="38" t="str">
        <f>IF(COUNTIF($V$4:$V$6,E285)&gt;0,E285,IF(ISBLANK(E285),IF(ISBLANK(E286),T(E285),"ERREUR"),"ERREUR"))</f>
        <v/>
      </c>
      <c r="O285" s="38" t="str">
        <f>IF(COUNTIF($W$4:$W$5,F285)&gt;0,F285,IF(ISBLANK(F285),IF(ISBLANK(F286),T(F285),"ERREUR"),"ERREUR"))</f>
        <v/>
      </c>
      <c r="P285" s="38" t="str">
        <f>IF(COUNTIF($X$4:$X$8,G285)&gt;0,G285,IF(ISBLANK(G285),IF(ISBLANK(G286),T(G285),"ERREUR"),"ERREUR"))</f>
        <v/>
      </c>
      <c r="Q285" s="38" t="str">
        <f>IF(ISNUMBER(H285),IF(INT(H285)=H285,H285,"ERREUR"),IF(ISBLANK(H285),IF(ISBLANK(H286),T(H285),"ERREUR"),"ERREUR"))</f>
        <v/>
      </c>
      <c r="R285" s="38"/>
      <c r="S285" s="38"/>
      <c r="T285" s="38"/>
      <c r="U285" s="39" t="str">
        <f>SUBSTITUTE(SUBSTITUTE(SUBSTITUTE(SUBSTITUTE(SUBSTITUTE(SUBSTITUTE(UPPER(S285),"Å","A"),"É","E"),"È","E"),"Ê","E"),"Î","I"),"Ï","I")</f>
        <v/>
      </c>
      <c r="V285" s="38"/>
      <c r="W285" s="38"/>
      <c r="X285" s="53"/>
      <c r="Y285" s="42"/>
      <c r="Z285" s="42"/>
      <c r="AA285" s="42"/>
    </row>
    <row r="286" ht="13.75" customHeight="1">
      <c r="A286" s="14" t="s">
        <v>140</v>
      </c>
      <c r="B286" s="50"/>
      <c r="C286" s="43"/>
      <c r="D286" s="43"/>
      <c r="E286" s="44"/>
      <c r="F286" s="44"/>
      <c r="G286" s="44"/>
      <c r="H286" s="45"/>
      <c r="I286" s="54"/>
      <c r="J286" s="47" t="str">
        <f>IF(OR(K286="ERREUR",L286="ERREUR",M286="ERREUR",N286="ERREUR",O286="ERREUR",P286="ERREUR",Q286="ERREUR"),"ERREUR",IF(AND(K286="",L286="",M286="",N286="",O286="",P286="",Q286=""),"ligne vide",IF(OR(K286="",L286="",M286="",N286="",O286="",P286="",Q286=""),"ligne incomplète","Valide")))</f>
        <v xml:space="preserve">ligne vide</v>
      </c>
      <c r="K286" s="48" t="str">
        <f>IF(ISBLANK(B286),IF(ISBLANK(B287),T(B286),"ERREUR"),IF(ISNUMBER(B286),_xlfn.NUMBERVALUE(B286),IF(ISTEXT(B286),VALUE(B286),"ERREUR")))</f>
        <v/>
      </c>
      <c r="L286" s="38" t="str">
        <f>IF(COUNTIF($R$4:$R$6,C286)&gt;0,C286,IF(ISBLANK(C286),IF(ISBLANK(D286),T(C286),"ERREUR"),"ERREUR"))</f>
        <v/>
      </c>
      <c r="M286" s="49" t="str">
        <f>IF(ISBLANK(D286),IF(ISBLANK(D287),T(D286),"ERREUR"),IF(COUNTIF($T$4:$T$240,SUBSTITUTE(SUBSTITUTE(SUBSTITUTE(SUBSTITUTE(SUBSTITUTE(SUBSTITUTE(UPPER(D286),"Å","A"),"É","E"),"È","E"),"Ê","E"),"Î","I"),"Ï","I"))&gt;0,D286,IF(ISBLANK(D286),T(D286),"ERREUR")))</f>
        <v/>
      </c>
      <c r="N286" s="38" t="str">
        <f>IF(COUNTIF($V$4:$V$6,E286)&gt;0,E286,IF(ISBLANK(E286),IF(ISBLANK(E287),T(E286),"ERREUR"),"ERREUR"))</f>
        <v/>
      </c>
      <c r="O286" s="38" t="str">
        <f>IF(COUNTIF($W$4:$W$5,F286)&gt;0,F286,IF(ISBLANK(F286),IF(ISBLANK(F287),T(F286),"ERREUR"),"ERREUR"))</f>
        <v/>
      </c>
      <c r="P286" s="38" t="str">
        <f>IF(COUNTIF($X$4:$X$8,G286)&gt;0,G286,IF(ISBLANK(G286),IF(ISBLANK(G287),T(G286),"ERREUR"),"ERREUR"))</f>
        <v/>
      </c>
      <c r="Q286" s="38" t="str">
        <f>IF(ISNUMBER(H286),IF(INT(H286)=H286,H286,"ERREUR"),IF(ISBLANK(H286),IF(ISBLANK(H287),T(H286),"ERREUR"),"ERREUR"))</f>
        <v/>
      </c>
      <c r="R286" s="38"/>
      <c r="S286" s="38"/>
      <c r="T286" s="38"/>
      <c r="U286" s="39" t="str">
        <f>SUBSTITUTE(SUBSTITUTE(SUBSTITUTE(SUBSTITUTE(SUBSTITUTE(SUBSTITUTE(UPPER(S286),"Å","A"),"É","E"),"È","E"),"Ê","E"),"Î","I"),"Ï","I")</f>
        <v/>
      </c>
      <c r="V286" s="38"/>
      <c r="W286" s="38"/>
      <c r="X286" s="53"/>
      <c r="Y286" s="42"/>
      <c r="Z286" s="42"/>
      <c r="AA286" s="42"/>
    </row>
    <row r="287" ht="13.75" customHeight="1">
      <c r="A287" s="14" t="s">
        <v>140</v>
      </c>
      <c r="B287" s="50"/>
      <c r="C287" s="43"/>
      <c r="D287" s="43"/>
      <c r="E287" s="44"/>
      <c r="F287" s="44"/>
      <c r="G287" s="44"/>
      <c r="H287" s="45"/>
      <c r="I287" s="54"/>
      <c r="J287" s="47" t="str">
        <f>IF(OR(K287="ERREUR",L287="ERREUR",M287="ERREUR",N287="ERREUR",O287="ERREUR",P287="ERREUR",Q287="ERREUR"),"ERREUR",IF(AND(K287="",L287="",M287="",N287="",O287="",P287="",Q287=""),"ligne vide",IF(OR(K287="",L287="",M287="",N287="",O287="",P287="",Q287=""),"ligne incomplète","Valide")))</f>
        <v xml:space="preserve">ligne vide</v>
      </c>
      <c r="K287" s="48" t="str">
        <f>IF(ISBLANK(B287),IF(ISBLANK(B288),T(B287),"ERREUR"),IF(ISNUMBER(B287),_xlfn.NUMBERVALUE(B287),IF(ISTEXT(B287),VALUE(B287),"ERREUR")))</f>
        <v/>
      </c>
      <c r="L287" s="38" t="str">
        <f>IF(COUNTIF($R$4:$R$6,C287)&gt;0,C287,IF(ISBLANK(C287),IF(ISBLANK(D287),T(C287),"ERREUR"),"ERREUR"))</f>
        <v/>
      </c>
      <c r="M287" s="49" t="str">
        <f>IF(ISBLANK(D287),IF(ISBLANK(D288),T(D287),"ERREUR"),IF(COUNTIF($T$4:$T$240,SUBSTITUTE(SUBSTITUTE(SUBSTITUTE(SUBSTITUTE(SUBSTITUTE(SUBSTITUTE(UPPER(D287),"Å","A"),"É","E"),"È","E"),"Ê","E"),"Î","I"),"Ï","I"))&gt;0,D287,IF(ISBLANK(D287),T(D287),"ERREUR")))</f>
        <v/>
      </c>
      <c r="N287" s="38" t="str">
        <f>IF(COUNTIF($V$4:$V$6,E287)&gt;0,E287,IF(ISBLANK(E287),IF(ISBLANK(E288),T(E287),"ERREUR"),"ERREUR"))</f>
        <v/>
      </c>
      <c r="O287" s="38" t="str">
        <f>IF(COUNTIF($W$4:$W$5,F287)&gt;0,F287,IF(ISBLANK(F287),IF(ISBLANK(F288),T(F287),"ERREUR"),"ERREUR"))</f>
        <v/>
      </c>
      <c r="P287" s="38" t="str">
        <f>IF(COUNTIF($X$4:$X$8,G287)&gt;0,G287,IF(ISBLANK(G287),IF(ISBLANK(G288),T(G287),"ERREUR"),"ERREUR"))</f>
        <v/>
      </c>
      <c r="Q287" s="38" t="str">
        <f>IF(ISNUMBER(H287),IF(INT(H287)=H287,H287,"ERREUR"),IF(ISBLANK(H287),IF(ISBLANK(H288),T(H287),"ERREUR"),"ERREUR"))</f>
        <v/>
      </c>
      <c r="R287" s="38"/>
      <c r="S287" s="38"/>
      <c r="T287" s="38"/>
      <c r="U287" s="39" t="str">
        <f>SUBSTITUTE(SUBSTITUTE(SUBSTITUTE(SUBSTITUTE(SUBSTITUTE(SUBSTITUTE(UPPER(S287),"Å","A"),"É","E"),"È","E"),"Ê","E"),"Î","I"),"Ï","I")</f>
        <v/>
      </c>
      <c r="V287" s="38"/>
      <c r="W287" s="38"/>
      <c r="X287" s="53"/>
      <c r="Y287" s="42"/>
      <c r="Z287" s="42"/>
      <c r="AA287" s="42"/>
    </row>
    <row r="288" ht="13.75" customHeight="1">
      <c r="A288" s="14" t="s">
        <v>140</v>
      </c>
      <c r="B288" s="50"/>
      <c r="C288" s="43"/>
      <c r="D288" s="43"/>
      <c r="E288" s="44"/>
      <c r="F288" s="44"/>
      <c r="G288" s="44"/>
      <c r="H288" s="45"/>
      <c r="I288" s="54"/>
      <c r="J288" s="47" t="str">
        <f>IF(OR(K288="ERREUR",L288="ERREUR",M288="ERREUR",N288="ERREUR",O288="ERREUR",P288="ERREUR",Q288="ERREUR"),"ERREUR",IF(AND(K288="",L288="",M288="",N288="",O288="",P288="",Q288=""),"ligne vide",IF(OR(K288="",L288="",M288="",N288="",O288="",P288="",Q288=""),"ligne incomplète","Valide")))</f>
        <v xml:space="preserve">ligne vide</v>
      </c>
      <c r="K288" s="48" t="str">
        <f>IF(ISBLANK(B288),IF(ISBLANK(B289),T(B288),"ERREUR"),IF(ISNUMBER(B288),_xlfn.NUMBERVALUE(B288),IF(ISTEXT(B288),VALUE(B288),"ERREUR")))</f>
        <v/>
      </c>
      <c r="L288" s="38" t="str">
        <f>IF(COUNTIF($R$4:$R$6,C288)&gt;0,C288,IF(ISBLANK(C288),IF(ISBLANK(D288),T(C288),"ERREUR"),"ERREUR"))</f>
        <v/>
      </c>
      <c r="M288" s="49" t="str">
        <f>IF(ISBLANK(D288),IF(ISBLANK(D289),T(D288),"ERREUR"),IF(COUNTIF($T$4:$T$240,SUBSTITUTE(SUBSTITUTE(SUBSTITUTE(SUBSTITUTE(SUBSTITUTE(SUBSTITUTE(UPPER(D288),"Å","A"),"É","E"),"È","E"),"Ê","E"),"Î","I"),"Ï","I"))&gt;0,D288,IF(ISBLANK(D288),T(D288),"ERREUR")))</f>
        <v/>
      </c>
      <c r="N288" s="38" t="str">
        <f>IF(COUNTIF($V$4:$V$6,E288)&gt;0,E288,IF(ISBLANK(E288),IF(ISBLANK(E289),T(E288),"ERREUR"),"ERREUR"))</f>
        <v/>
      </c>
      <c r="O288" s="38" t="str">
        <f>IF(COUNTIF($W$4:$W$5,F288)&gt;0,F288,IF(ISBLANK(F288),IF(ISBLANK(F289),T(F288),"ERREUR"),"ERREUR"))</f>
        <v/>
      </c>
      <c r="P288" s="38" t="str">
        <f>IF(COUNTIF($X$4:$X$8,G288)&gt;0,G288,IF(ISBLANK(G288),IF(ISBLANK(G289),T(G288),"ERREUR"),"ERREUR"))</f>
        <v/>
      </c>
      <c r="Q288" s="38" t="str">
        <f>IF(ISNUMBER(H288),IF(INT(H288)=H288,H288,"ERREUR"),IF(ISBLANK(H288),IF(ISBLANK(H289),T(H288),"ERREUR"),"ERREUR"))</f>
        <v/>
      </c>
      <c r="R288" s="38"/>
      <c r="S288" s="38"/>
      <c r="T288" s="38"/>
      <c r="U288" s="39" t="str">
        <f>SUBSTITUTE(SUBSTITUTE(SUBSTITUTE(SUBSTITUTE(SUBSTITUTE(SUBSTITUTE(UPPER(S288),"Å","A"),"É","E"),"È","E"),"Ê","E"),"Î","I"),"Ï","I")</f>
        <v/>
      </c>
      <c r="V288" s="38"/>
      <c r="W288" s="38"/>
      <c r="X288" s="53"/>
      <c r="Y288" s="42"/>
      <c r="Z288" s="42"/>
      <c r="AA288" s="42"/>
    </row>
    <row r="289" ht="13.75" customHeight="1">
      <c r="A289" s="14" t="s">
        <v>140</v>
      </c>
      <c r="B289" s="50"/>
      <c r="C289" s="43"/>
      <c r="D289" s="43"/>
      <c r="E289" s="44"/>
      <c r="F289" s="44"/>
      <c r="G289" s="44"/>
      <c r="H289" s="45"/>
      <c r="I289" s="54"/>
      <c r="J289" s="47" t="str">
        <f>IF(OR(K289="ERREUR",L289="ERREUR",M289="ERREUR",N289="ERREUR",O289="ERREUR",P289="ERREUR",Q289="ERREUR"),"ERREUR",IF(AND(K289="",L289="",M289="",N289="",O289="",P289="",Q289=""),"ligne vide",IF(OR(K289="",L289="",M289="",N289="",O289="",P289="",Q289=""),"ligne incomplète","Valide")))</f>
        <v xml:space="preserve">ligne vide</v>
      </c>
      <c r="K289" s="48" t="str">
        <f>IF(ISBLANK(B289),IF(ISBLANK(B290),T(B289),"ERREUR"),IF(ISNUMBER(B289),_xlfn.NUMBERVALUE(B289),IF(ISTEXT(B289),VALUE(B289),"ERREUR")))</f>
        <v/>
      </c>
      <c r="L289" s="38" t="str">
        <f>IF(COUNTIF($R$4:$R$6,C289)&gt;0,C289,IF(ISBLANK(C289),IF(ISBLANK(D289),T(C289),"ERREUR"),"ERREUR"))</f>
        <v/>
      </c>
      <c r="M289" s="49" t="str">
        <f>IF(ISBLANK(D289),IF(ISBLANK(D290),T(D289),"ERREUR"),IF(COUNTIF($T$4:$T$240,SUBSTITUTE(SUBSTITUTE(SUBSTITUTE(SUBSTITUTE(SUBSTITUTE(SUBSTITUTE(UPPER(D289),"Å","A"),"É","E"),"È","E"),"Ê","E"),"Î","I"),"Ï","I"))&gt;0,D289,IF(ISBLANK(D289),T(D289),"ERREUR")))</f>
        <v/>
      </c>
      <c r="N289" s="38" t="str">
        <f>IF(COUNTIF($V$4:$V$6,E289)&gt;0,E289,IF(ISBLANK(E289),IF(ISBLANK(E290),T(E289),"ERREUR"),"ERREUR"))</f>
        <v/>
      </c>
      <c r="O289" s="38" t="str">
        <f>IF(COUNTIF($W$4:$W$5,F289)&gt;0,F289,IF(ISBLANK(F289),IF(ISBLANK(F290),T(F289),"ERREUR"),"ERREUR"))</f>
        <v/>
      </c>
      <c r="P289" s="38" t="str">
        <f>IF(COUNTIF($X$4:$X$8,G289)&gt;0,G289,IF(ISBLANK(G289),IF(ISBLANK(G290),T(G289),"ERREUR"),"ERREUR"))</f>
        <v/>
      </c>
      <c r="Q289" s="38" t="str">
        <f>IF(ISNUMBER(H289),IF(INT(H289)=H289,H289,"ERREUR"),IF(ISBLANK(H289),IF(ISBLANK(H290),T(H289),"ERREUR"),"ERREUR"))</f>
        <v/>
      </c>
      <c r="R289" s="38"/>
      <c r="S289" s="38"/>
      <c r="T289" s="38"/>
      <c r="U289" s="39" t="str">
        <f>SUBSTITUTE(SUBSTITUTE(SUBSTITUTE(SUBSTITUTE(SUBSTITUTE(SUBSTITUTE(UPPER(S289),"Å","A"),"É","E"),"È","E"),"Ê","E"),"Î","I"),"Ï","I")</f>
        <v/>
      </c>
      <c r="V289" s="38"/>
      <c r="W289" s="38"/>
      <c r="X289" s="53"/>
      <c r="Y289" s="42"/>
      <c r="Z289" s="42"/>
      <c r="AA289" s="42"/>
    </row>
    <row r="290" ht="13.75" customHeight="1">
      <c r="A290" s="14" t="s">
        <v>140</v>
      </c>
      <c r="B290" s="50"/>
      <c r="C290" s="43"/>
      <c r="D290" s="43"/>
      <c r="E290" s="44"/>
      <c r="F290" s="44"/>
      <c r="G290" s="44"/>
      <c r="H290" s="45"/>
      <c r="I290" s="54"/>
      <c r="J290" s="47" t="str">
        <f>IF(OR(K290="ERREUR",L290="ERREUR",M290="ERREUR",N290="ERREUR",O290="ERREUR",P290="ERREUR",Q290="ERREUR"),"ERREUR",IF(AND(K290="",L290="",M290="",N290="",O290="",P290="",Q290=""),"ligne vide",IF(OR(K290="",L290="",M290="",N290="",O290="",P290="",Q290=""),"ligne incomplète","Valide")))</f>
        <v xml:space="preserve">ligne vide</v>
      </c>
      <c r="K290" s="48" t="str">
        <f>IF(ISBLANK(B290),IF(ISBLANK(B291),T(B290),"ERREUR"),IF(ISNUMBER(B290),_xlfn.NUMBERVALUE(B290),IF(ISTEXT(B290),VALUE(B290),"ERREUR")))</f>
        <v/>
      </c>
      <c r="L290" s="38" t="str">
        <f>IF(COUNTIF($R$4:$R$6,C290)&gt;0,C290,IF(ISBLANK(C290),IF(ISBLANK(D290),T(C290),"ERREUR"),"ERREUR"))</f>
        <v/>
      </c>
      <c r="M290" s="49" t="str">
        <f>IF(ISBLANK(D290),IF(ISBLANK(D291),T(D290),"ERREUR"),IF(COUNTIF($T$4:$T$240,SUBSTITUTE(SUBSTITUTE(SUBSTITUTE(SUBSTITUTE(SUBSTITUTE(SUBSTITUTE(UPPER(D290),"Å","A"),"É","E"),"È","E"),"Ê","E"),"Î","I"),"Ï","I"))&gt;0,D290,IF(ISBLANK(D290),T(D290),"ERREUR")))</f>
        <v/>
      </c>
      <c r="N290" s="38" t="str">
        <f>IF(COUNTIF($V$4:$V$6,E290)&gt;0,E290,IF(ISBLANK(E290),IF(ISBLANK(E291),T(E290),"ERREUR"),"ERREUR"))</f>
        <v/>
      </c>
      <c r="O290" s="38" t="str">
        <f>IF(COUNTIF($W$4:$W$5,F290)&gt;0,F290,IF(ISBLANK(F290),IF(ISBLANK(F291),T(F290),"ERREUR"),"ERREUR"))</f>
        <v/>
      </c>
      <c r="P290" s="38" t="str">
        <f>IF(COUNTIF($X$4:$X$8,G290)&gt;0,G290,IF(ISBLANK(G290),IF(ISBLANK(G291),T(G290),"ERREUR"),"ERREUR"))</f>
        <v/>
      </c>
      <c r="Q290" s="38" t="str">
        <f>IF(ISNUMBER(H290),IF(INT(H290)=H290,H290,"ERREUR"),IF(ISBLANK(H290),IF(ISBLANK(H291),T(H290),"ERREUR"),"ERREUR"))</f>
        <v/>
      </c>
      <c r="R290" s="38"/>
      <c r="S290" s="38"/>
      <c r="T290" s="38"/>
      <c r="U290" s="39" t="str">
        <f>SUBSTITUTE(SUBSTITUTE(SUBSTITUTE(SUBSTITUTE(SUBSTITUTE(SUBSTITUTE(UPPER(S290),"Å","A"),"É","E"),"È","E"),"Ê","E"),"Î","I"),"Ï","I")</f>
        <v/>
      </c>
      <c r="V290" s="38"/>
      <c r="W290" s="38"/>
      <c r="X290" s="53"/>
      <c r="Y290" s="42"/>
      <c r="Z290" s="42"/>
      <c r="AA290" s="42"/>
    </row>
    <row r="291" ht="13.75" customHeight="1">
      <c r="A291" s="14" t="s">
        <v>140</v>
      </c>
      <c r="B291" s="50"/>
      <c r="C291" s="43"/>
      <c r="D291" s="43"/>
      <c r="E291" s="44"/>
      <c r="F291" s="44"/>
      <c r="G291" s="44"/>
      <c r="H291" s="45"/>
      <c r="I291" s="54"/>
      <c r="J291" s="47" t="str">
        <f>IF(OR(K291="ERREUR",L291="ERREUR",M291="ERREUR",N291="ERREUR",O291="ERREUR",P291="ERREUR",Q291="ERREUR"),"ERREUR",IF(AND(K291="",L291="",M291="",N291="",O291="",P291="",Q291=""),"ligne vide",IF(OR(K291="",L291="",M291="",N291="",O291="",P291="",Q291=""),"ligne incomplète","Valide")))</f>
        <v xml:space="preserve">ligne vide</v>
      </c>
      <c r="K291" s="48" t="str">
        <f>IF(ISBLANK(B291),IF(ISBLANK(B292),T(B291),"ERREUR"),IF(ISNUMBER(B291),_xlfn.NUMBERVALUE(B291),IF(ISTEXT(B291),VALUE(B291),"ERREUR")))</f>
        <v/>
      </c>
      <c r="L291" s="38" t="str">
        <f>IF(COUNTIF($R$4:$R$6,C291)&gt;0,C291,IF(ISBLANK(C291),IF(ISBLANK(D291),T(C291),"ERREUR"),"ERREUR"))</f>
        <v/>
      </c>
      <c r="M291" s="49" t="str">
        <f>IF(ISBLANK(D291),IF(ISBLANK(D292),T(D291),"ERREUR"),IF(COUNTIF($T$4:$T$240,SUBSTITUTE(SUBSTITUTE(SUBSTITUTE(SUBSTITUTE(SUBSTITUTE(SUBSTITUTE(UPPER(D291),"Å","A"),"É","E"),"È","E"),"Ê","E"),"Î","I"),"Ï","I"))&gt;0,D291,IF(ISBLANK(D291),T(D291),"ERREUR")))</f>
        <v/>
      </c>
      <c r="N291" s="38" t="str">
        <f>IF(COUNTIF($V$4:$V$6,E291)&gt;0,E291,IF(ISBLANK(E291),IF(ISBLANK(E292),T(E291),"ERREUR"),"ERREUR"))</f>
        <v/>
      </c>
      <c r="O291" s="38" t="str">
        <f>IF(COUNTIF($W$4:$W$5,F291)&gt;0,F291,IF(ISBLANK(F291),IF(ISBLANK(F292),T(F291),"ERREUR"),"ERREUR"))</f>
        <v/>
      </c>
      <c r="P291" s="38" t="str">
        <f>IF(COUNTIF($X$4:$X$8,G291)&gt;0,G291,IF(ISBLANK(G291),IF(ISBLANK(G292),T(G291),"ERREUR"),"ERREUR"))</f>
        <v/>
      </c>
      <c r="Q291" s="38" t="str">
        <f>IF(ISNUMBER(H291),IF(INT(H291)=H291,H291,"ERREUR"),IF(ISBLANK(H291),IF(ISBLANK(H292),T(H291),"ERREUR"),"ERREUR"))</f>
        <v/>
      </c>
      <c r="R291" s="38"/>
      <c r="S291" s="38"/>
      <c r="T291" s="38"/>
      <c r="U291" s="39" t="str">
        <f>SUBSTITUTE(SUBSTITUTE(SUBSTITUTE(SUBSTITUTE(SUBSTITUTE(SUBSTITUTE(UPPER(S291),"Å","A"),"É","E"),"È","E"),"Ê","E"),"Î","I"),"Ï","I")</f>
        <v/>
      </c>
      <c r="V291" s="38"/>
      <c r="W291" s="38"/>
      <c r="X291" s="53"/>
      <c r="Y291" s="42"/>
      <c r="Z291" s="42"/>
      <c r="AA291" s="42"/>
    </row>
    <row r="292" ht="13.75" customHeight="1">
      <c r="A292" s="14" t="s">
        <v>140</v>
      </c>
      <c r="B292" s="50"/>
      <c r="C292" s="43"/>
      <c r="D292" s="43"/>
      <c r="E292" s="44"/>
      <c r="F292" s="44"/>
      <c r="G292" s="44"/>
      <c r="H292" s="45"/>
      <c r="I292" s="54"/>
      <c r="J292" s="47" t="str">
        <f>IF(OR(K292="ERREUR",L292="ERREUR",M292="ERREUR",N292="ERREUR",O292="ERREUR",P292="ERREUR",Q292="ERREUR"),"ERREUR",IF(AND(K292="",L292="",M292="",N292="",O292="",P292="",Q292=""),"ligne vide",IF(OR(K292="",L292="",M292="",N292="",O292="",P292="",Q292=""),"ligne incomplète","Valide")))</f>
        <v xml:space="preserve">ligne vide</v>
      </c>
      <c r="K292" s="48" t="str">
        <f>IF(ISBLANK(B292),IF(ISBLANK(B293),T(B292),"ERREUR"),IF(ISNUMBER(B292),_xlfn.NUMBERVALUE(B292),IF(ISTEXT(B292),VALUE(B292),"ERREUR")))</f>
        <v/>
      </c>
      <c r="L292" s="38" t="str">
        <f>IF(COUNTIF($R$4:$R$6,C292)&gt;0,C292,IF(ISBLANK(C292),IF(ISBLANK(D292),T(C292),"ERREUR"),"ERREUR"))</f>
        <v/>
      </c>
      <c r="M292" s="49" t="str">
        <f>IF(ISBLANK(D292),IF(ISBLANK(D293),T(D292),"ERREUR"),IF(COUNTIF($T$4:$T$240,SUBSTITUTE(SUBSTITUTE(SUBSTITUTE(SUBSTITUTE(SUBSTITUTE(SUBSTITUTE(UPPER(D292),"Å","A"),"É","E"),"È","E"),"Ê","E"),"Î","I"),"Ï","I"))&gt;0,D292,IF(ISBLANK(D292),T(D292),"ERREUR")))</f>
        <v/>
      </c>
      <c r="N292" s="38" t="str">
        <f>IF(COUNTIF($V$4:$V$6,E292)&gt;0,E292,IF(ISBLANK(E292),IF(ISBLANK(E293),T(E292),"ERREUR"),"ERREUR"))</f>
        <v/>
      </c>
      <c r="O292" s="38" t="str">
        <f>IF(COUNTIF($W$4:$W$5,F292)&gt;0,F292,IF(ISBLANK(F292),IF(ISBLANK(F293),T(F292),"ERREUR"),"ERREUR"))</f>
        <v/>
      </c>
      <c r="P292" s="38" t="str">
        <f>IF(COUNTIF($X$4:$X$8,G292)&gt;0,G292,IF(ISBLANK(G292),IF(ISBLANK(G293),T(G292),"ERREUR"),"ERREUR"))</f>
        <v/>
      </c>
      <c r="Q292" s="38" t="str">
        <f>IF(ISNUMBER(H292),IF(INT(H292)=H292,H292,"ERREUR"),IF(ISBLANK(H292),IF(ISBLANK(H293),T(H292),"ERREUR"),"ERREUR"))</f>
        <v/>
      </c>
      <c r="R292" s="38"/>
      <c r="S292" s="38"/>
      <c r="T292" s="38"/>
      <c r="U292" s="39" t="str">
        <f>SUBSTITUTE(SUBSTITUTE(SUBSTITUTE(SUBSTITUTE(SUBSTITUTE(SUBSTITUTE(UPPER(S292),"Å","A"),"É","E"),"È","E"),"Ê","E"),"Î","I"),"Ï","I")</f>
        <v/>
      </c>
      <c r="V292" s="38"/>
      <c r="W292" s="38"/>
      <c r="X292" s="53"/>
      <c r="Y292" s="42"/>
      <c r="Z292" s="42"/>
      <c r="AA292" s="42"/>
    </row>
    <row r="293" ht="13.75" customHeight="1">
      <c r="A293" s="14" t="s">
        <v>140</v>
      </c>
      <c r="B293" s="50"/>
      <c r="C293" s="43"/>
      <c r="D293" s="43"/>
      <c r="E293" s="44"/>
      <c r="F293" s="44"/>
      <c r="G293" s="44"/>
      <c r="H293" s="45"/>
      <c r="I293" s="54"/>
      <c r="J293" s="47" t="str">
        <f>IF(OR(K293="ERREUR",L293="ERREUR",M293="ERREUR",N293="ERREUR",O293="ERREUR",P293="ERREUR",Q293="ERREUR"),"ERREUR",IF(AND(K293="",L293="",M293="",N293="",O293="",P293="",Q293=""),"ligne vide",IF(OR(K293="",L293="",M293="",N293="",O293="",P293="",Q293=""),"ligne incomplète","Valide")))</f>
        <v xml:space="preserve">ligne vide</v>
      </c>
      <c r="K293" s="48" t="str">
        <f>IF(ISBLANK(B293),IF(ISBLANK(B294),T(B293),"ERREUR"),IF(ISNUMBER(B293),_xlfn.NUMBERVALUE(B293),IF(ISTEXT(B293),VALUE(B293),"ERREUR")))</f>
        <v/>
      </c>
      <c r="L293" s="38" t="str">
        <f>IF(COUNTIF($R$4:$R$6,C293)&gt;0,C293,IF(ISBLANK(C293),IF(ISBLANK(D293),T(C293),"ERREUR"),"ERREUR"))</f>
        <v/>
      </c>
      <c r="M293" s="49" t="str">
        <f>IF(ISBLANK(D293),IF(ISBLANK(D294),T(D293),"ERREUR"),IF(COUNTIF($T$4:$T$240,SUBSTITUTE(SUBSTITUTE(SUBSTITUTE(SUBSTITUTE(SUBSTITUTE(SUBSTITUTE(UPPER(D293),"Å","A"),"É","E"),"È","E"),"Ê","E"),"Î","I"),"Ï","I"))&gt;0,D293,IF(ISBLANK(D293),T(D293),"ERREUR")))</f>
        <v/>
      </c>
      <c r="N293" s="38" t="str">
        <f>IF(COUNTIF($V$4:$V$6,E293)&gt;0,E293,IF(ISBLANK(E293),IF(ISBLANK(E294),T(E293),"ERREUR"),"ERREUR"))</f>
        <v/>
      </c>
      <c r="O293" s="38" t="str">
        <f>IF(COUNTIF($W$4:$W$5,F293)&gt;0,F293,IF(ISBLANK(F293),IF(ISBLANK(F294),T(F293),"ERREUR"),"ERREUR"))</f>
        <v/>
      </c>
      <c r="P293" s="38" t="str">
        <f>IF(COUNTIF($X$4:$X$8,G293)&gt;0,G293,IF(ISBLANK(G293),IF(ISBLANK(G294),T(G293),"ERREUR"),"ERREUR"))</f>
        <v/>
      </c>
      <c r="Q293" s="38" t="str">
        <f>IF(ISNUMBER(H293),IF(INT(H293)=H293,H293,"ERREUR"),IF(ISBLANK(H293),IF(ISBLANK(H294),T(H293),"ERREUR"),"ERREUR"))</f>
        <v/>
      </c>
      <c r="R293" s="38"/>
      <c r="S293" s="38"/>
      <c r="T293" s="38"/>
      <c r="U293" s="39" t="str">
        <f>SUBSTITUTE(SUBSTITUTE(SUBSTITUTE(SUBSTITUTE(SUBSTITUTE(SUBSTITUTE(UPPER(S293),"Å","A"),"É","E"),"È","E"),"Ê","E"),"Î","I"),"Ï","I")</f>
        <v/>
      </c>
      <c r="V293" s="38"/>
      <c r="W293" s="38"/>
      <c r="X293" s="53"/>
      <c r="Y293" s="42"/>
      <c r="Z293" s="42"/>
      <c r="AA293" s="42"/>
    </row>
    <row r="294" ht="13.75" customHeight="1">
      <c r="A294" s="14" t="s">
        <v>140</v>
      </c>
      <c r="B294" s="50"/>
      <c r="C294" s="43"/>
      <c r="D294" s="43"/>
      <c r="E294" s="44"/>
      <c r="F294" s="44"/>
      <c r="G294" s="44"/>
      <c r="H294" s="45"/>
      <c r="I294" s="54"/>
      <c r="J294" s="47" t="str">
        <f>IF(OR(K294="ERREUR",L294="ERREUR",M294="ERREUR",N294="ERREUR",O294="ERREUR",P294="ERREUR",Q294="ERREUR"),"ERREUR",IF(AND(K294="",L294="",M294="",N294="",O294="",P294="",Q294=""),"ligne vide",IF(OR(K294="",L294="",M294="",N294="",O294="",P294="",Q294=""),"ligne incomplète","Valide")))</f>
        <v xml:space="preserve">ligne vide</v>
      </c>
      <c r="K294" s="48" t="str">
        <f>IF(ISBLANK(B294),IF(ISBLANK(B295),T(B294),"ERREUR"),IF(ISNUMBER(B294),_xlfn.NUMBERVALUE(B294),IF(ISTEXT(B294),VALUE(B294),"ERREUR")))</f>
        <v/>
      </c>
      <c r="L294" s="38" t="str">
        <f>IF(COUNTIF($R$4:$R$6,C294)&gt;0,C294,IF(ISBLANK(C294),IF(ISBLANK(D294),T(C294),"ERREUR"),"ERREUR"))</f>
        <v/>
      </c>
      <c r="M294" s="49" t="str">
        <f>IF(ISBLANK(D294),IF(ISBLANK(D295),T(D294),"ERREUR"),IF(COUNTIF($T$4:$T$240,SUBSTITUTE(SUBSTITUTE(SUBSTITUTE(SUBSTITUTE(SUBSTITUTE(SUBSTITUTE(UPPER(D294),"Å","A"),"É","E"),"È","E"),"Ê","E"),"Î","I"),"Ï","I"))&gt;0,D294,IF(ISBLANK(D294),T(D294),"ERREUR")))</f>
        <v/>
      </c>
      <c r="N294" s="38" t="str">
        <f>IF(COUNTIF($V$4:$V$6,E294)&gt;0,E294,IF(ISBLANK(E294),IF(ISBLANK(E295),T(E294),"ERREUR"),"ERREUR"))</f>
        <v/>
      </c>
      <c r="O294" s="38" t="str">
        <f>IF(COUNTIF($W$4:$W$5,F294)&gt;0,F294,IF(ISBLANK(F294),IF(ISBLANK(F295),T(F294),"ERREUR"),"ERREUR"))</f>
        <v/>
      </c>
      <c r="P294" s="38" t="str">
        <f>IF(COUNTIF($X$4:$X$8,G294)&gt;0,G294,IF(ISBLANK(G294),IF(ISBLANK(G295),T(G294),"ERREUR"),"ERREUR"))</f>
        <v/>
      </c>
      <c r="Q294" s="38" t="str">
        <f>IF(ISNUMBER(H294),IF(INT(H294)=H294,H294,"ERREUR"),IF(ISBLANK(H294),IF(ISBLANK(H295),T(H294),"ERREUR"),"ERREUR"))</f>
        <v/>
      </c>
      <c r="R294" s="38"/>
      <c r="S294" s="38"/>
      <c r="T294" s="38"/>
      <c r="U294" s="39" t="str">
        <f>SUBSTITUTE(SUBSTITUTE(SUBSTITUTE(SUBSTITUTE(SUBSTITUTE(SUBSTITUTE(UPPER(S294),"Å","A"),"É","E"),"È","E"),"Ê","E"),"Î","I"),"Ï","I")</f>
        <v/>
      </c>
      <c r="V294" s="38"/>
      <c r="W294" s="38"/>
      <c r="X294" s="53"/>
      <c r="Y294" s="42"/>
      <c r="Z294" s="42"/>
      <c r="AA294" s="42"/>
    </row>
    <row r="295" ht="13.75" customHeight="1">
      <c r="A295" s="14" t="s">
        <v>140</v>
      </c>
      <c r="B295" s="50"/>
      <c r="C295" s="43"/>
      <c r="D295" s="43"/>
      <c r="E295" s="44"/>
      <c r="F295" s="44"/>
      <c r="G295" s="44"/>
      <c r="H295" s="45"/>
      <c r="I295" s="54"/>
      <c r="J295" s="47" t="str">
        <f>IF(OR(K295="ERREUR",L295="ERREUR",M295="ERREUR",N295="ERREUR",O295="ERREUR",P295="ERREUR",Q295="ERREUR"),"ERREUR",IF(AND(K295="",L295="",M295="",N295="",O295="",P295="",Q295=""),"ligne vide",IF(OR(K295="",L295="",M295="",N295="",O295="",P295="",Q295=""),"ligne incomplète","Valide")))</f>
        <v xml:space="preserve">ligne vide</v>
      </c>
      <c r="K295" s="48" t="str">
        <f>IF(ISBLANK(B295),IF(ISBLANK(B296),T(B295),"ERREUR"),IF(ISNUMBER(B295),_xlfn.NUMBERVALUE(B295),IF(ISTEXT(B295),VALUE(B295),"ERREUR")))</f>
        <v/>
      </c>
      <c r="L295" s="38" t="str">
        <f>IF(COUNTIF($R$4:$R$6,C295)&gt;0,C295,IF(ISBLANK(C295),IF(ISBLANK(D295),T(C295),"ERREUR"),"ERREUR"))</f>
        <v/>
      </c>
      <c r="M295" s="49" t="str">
        <f>IF(ISBLANK(D295),IF(ISBLANK(D296),T(D295),"ERREUR"),IF(COUNTIF($T$4:$T$240,SUBSTITUTE(SUBSTITUTE(SUBSTITUTE(SUBSTITUTE(SUBSTITUTE(SUBSTITUTE(UPPER(D295),"Å","A"),"É","E"),"È","E"),"Ê","E"),"Î","I"),"Ï","I"))&gt;0,D295,IF(ISBLANK(D295),T(D295),"ERREUR")))</f>
        <v/>
      </c>
      <c r="N295" s="38" t="str">
        <f>IF(COUNTIF($V$4:$V$6,E295)&gt;0,E295,IF(ISBLANK(E295),IF(ISBLANK(E296),T(E295),"ERREUR"),"ERREUR"))</f>
        <v/>
      </c>
      <c r="O295" s="38" t="str">
        <f>IF(COUNTIF($W$4:$W$5,F295)&gt;0,F295,IF(ISBLANK(F295),IF(ISBLANK(F296),T(F295),"ERREUR"),"ERREUR"))</f>
        <v/>
      </c>
      <c r="P295" s="38" t="str">
        <f>IF(COUNTIF($X$4:$X$8,G295)&gt;0,G295,IF(ISBLANK(G295),IF(ISBLANK(G296),T(G295),"ERREUR"),"ERREUR"))</f>
        <v/>
      </c>
      <c r="Q295" s="38" t="str">
        <f>IF(ISNUMBER(H295),IF(INT(H295)=H295,H295,"ERREUR"),IF(ISBLANK(H295),IF(ISBLANK(H296),T(H295),"ERREUR"),"ERREUR"))</f>
        <v/>
      </c>
      <c r="R295" s="38"/>
      <c r="S295" s="38"/>
      <c r="T295" s="38"/>
      <c r="U295" s="39" t="str">
        <f>SUBSTITUTE(SUBSTITUTE(SUBSTITUTE(SUBSTITUTE(SUBSTITUTE(SUBSTITUTE(UPPER(S295),"Å","A"),"É","E"),"È","E"),"Ê","E"),"Î","I"),"Ï","I")</f>
        <v/>
      </c>
      <c r="V295" s="38"/>
      <c r="W295" s="38"/>
      <c r="X295" s="53"/>
      <c r="Y295" s="42"/>
      <c r="Z295" s="42"/>
      <c r="AA295" s="42"/>
    </row>
    <row r="296" ht="13.75" customHeight="1">
      <c r="A296" s="14" t="s">
        <v>140</v>
      </c>
      <c r="B296" s="50"/>
      <c r="C296" s="43"/>
      <c r="D296" s="43"/>
      <c r="E296" s="44"/>
      <c r="F296" s="44"/>
      <c r="G296" s="44"/>
      <c r="H296" s="45"/>
      <c r="I296" s="54"/>
      <c r="J296" s="47" t="str">
        <f>IF(OR(K296="ERREUR",L296="ERREUR",M296="ERREUR",N296="ERREUR",O296="ERREUR",P296="ERREUR",Q296="ERREUR"),"ERREUR",IF(AND(K296="",L296="",M296="",N296="",O296="",P296="",Q296=""),"ligne vide",IF(OR(K296="",L296="",M296="",N296="",O296="",P296="",Q296=""),"ligne incomplète","Valide")))</f>
        <v xml:space="preserve">ligne vide</v>
      </c>
      <c r="K296" s="48" t="str">
        <f>IF(ISBLANK(B296),IF(ISBLANK(B297),T(B296),"ERREUR"),IF(ISNUMBER(B296),_xlfn.NUMBERVALUE(B296),IF(ISTEXT(B296),VALUE(B296),"ERREUR")))</f>
        <v/>
      </c>
      <c r="L296" s="38" t="str">
        <f>IF(COUNTIF($R$4:$R$6,C296)&gt;0,C296,IF(ISBLANK(C296),IF(ISBLANK(D296),T(C296),"ERREUR"),"ERREUR"))</f>
        <v/>
      </c>
      <c r="M296" s="49" t="str">
        <f>IF(ISBLANK(D296),IF(ISBLANK(D297),T(D296),"ERREUR"),IF(COUNTIF($T$4:$T$240,SUBSTITUTE(SUBSTITUTE(SUBSTITUTE(SUBSTITUTE(SUBSTITUTE(SUBSTITUTE(UPPER(D296),"Å","A"),"É","E"),"È","E"),"Ê","E"),"Î","I"),"Ï","I"))&gt;0,D296,IF(ISBLANK(D296),T(D296),"ERREUR")))</f>
        <v/>
      </c>
      <c r="N296" s="38" t="str">
        <f>IF(COUNTIF($V$4:$V$6,E296)&gt;0,E296,IF(ISBLANK(E296),IF(ISBLANK(E297),T(E296),"ERREUR"),"ERREUR"))</f>
        <v/>
      </c>
      <c r="O296" s="38" t="str">
        <f>IF(COUNTIF($W$4:$W$5,F296)&gt;0,F296,IF(ISBLANK(F296),IF(ISBLANK(F297),T(F296),"ERREUR"),"ERREUR"))</f>
        <v/>
      </c>
      <c r="P296" s="38" t="str">
        <f>IF(COUNTIF($X$4:$X$8,G296)&gt;0,G296,IF(ISBLANK(G296),IF(ISBLANK(G297),T(G296),"ERREUR"),"ERREUR"))</f>
        <v/>
      </c>
      <c r="Q296" s="38" t="str">
        <f>IF(ISNUMBER(H296),IF(INT(H296)=H296,H296,"ERREUR"),IF(ISBLANK(H296),IF(ISBLANK(H297),T(H296),"ERREUR"),"ERREUR"))</f>
        <v/>
      </c>
      <c r="R296" s="38"/>
      <c r="S296" s="38"/>
      <c r="T296" s="38"/>
      <c r="U296" s="39" t="str">
        <f>SUBSTITUTE(SUBSTITUTE(SUBSTITUTE(SUBSTITUTE(SUBSTITUTE(SUBSTITUTE(UPPER(S296),"Å","A"),"É","E"),"È","E"),"Ê","E"),"Î","I"),"Ï","I")</f>
        <v/>
      </c>
      <c r="V296" s="38"/>
      <c r="W296" s="38"/>
      <c r="X296" s="53"/>
      <c r="Y296" s="42"/>
      <c r="Z296" s="42"/>
      <c r="AA296" s="42"/>
    </row>
    <row r="297" ht="13.75" customHeight="1">
      <c r="A297" s="14" t="s">
        <v>140</v>
      </c>
      <c r="B297" s="50"/>
      <c r="C297" s="43"/>
      <c r="D297" s="43"/>
      <c r="E297" s="44"/>
      <c r="F297" s="44"/>
      <c r="G297" s="44"/>
      <c r="H297" s="45"/>
      <c r="I297" s="54"/>
      <c r="J297" s="47" t="str">
        <f>IF(OR(K297="ERREUR",L297="ERREUR",M297="ERREUR",N297="ERREUR",O297="ERREUR",P297="ERREUR",Q297="ERREUR"),"ERREUR",IF(AND(K297="",L297="",M297="",N297="",O297="",P297="",Q297=""),"ligne vide",IF(OR(K297="",L297="",M297="",N297="",O297="",P297="",Q297=""),"ligne incomplète","Valide")))</f>
        <v xml:space="preserve">ligne vide</v>
      </c>
      <c r="K297" s="48" t="str">
        <f>IF(ISBLANK(B297),IF(ISBLANK(B298),T(B297),"ERREUR"),IF(ISNUMBER(B297),_xlfn.NUMBERVALUE(B297),IF(ISTEXT(B297),VALUE(B297),"ERREUR")))</f>
        <v/>
      </c>
      <c r="L297" s="38" t="str">
        <f>IF(COUNTIF($R$4:$R$6,C297)&gt;0,C297,IF(ISBLANK(C297),IF(ISBLANK(D297),T(C297),"ERREUR"),"ERREUR"))</f>
        <v/>
      </c>
      <c r="M297" s="49" t="str">
        <f>IF(ISBLANK(D297),IF(ISBLANK(D298),T(D297),"ERREUR"),IF(COUNTIF($T$4:$T$240,SUBSTITUTE(SUBSTITUTE(SUBSTITUTE(SUBSTITUTE(SUBSTITUTE(SUBSTITUTE(UPPER(D297),"Å","A"),"É","E"),"È","E"),"Ê","E"),"Î","I"),"Ï","I"))&gt;0,D297,IF(ISBLANK(D297),T(D297),"ERREUR")))</f>
        <v/>
      </c>
      <c r="N297" s="38" t="str">
        <f>IF(COUNTIF($V$4:$V$6,E297)&gt;0,E297,IF(ISBLANK(E297),IF(ISBLANK(E298),T(E297),"ERREUR"),"ERREUR"))</f>
        <v/>
      </c>
      <c r="O297" s="38" t="str">
        <f>IF(COUNTIF($W$4:$W$5,F297)&gt;0,F297,IF(ISBLANK(F297),IF(ISBLANK(F298),T(F297),"ERREUR"),"ERREUR"))</f>
        <v/>
      </c>
      <c r="P297" s="38" t="str">
        <f>IF(COUNTIF($X$4:$X$8,G297)&gt;0,G297,IF(ISBLANK(G297),IF(ISBLANK(G298),T(G297),"ERREUR"),"ERREUR"))</f>
        <v/>
      </c>
      <c r="Q297" s="38" t="str">
        <f>IF(ISNUMBER(H297),IF(INT(H297)=H297,H297,"ERREUR"),IF(ISBLANK(H297),IF(ISBLANK(H298),T(H297),"ERREUR"),"ERREUR"))</f>
        <v/>
      </c>
      <c r="R297" s="38"/>
      <c r="S297" s="38"/>
      <c r="T297" s="38"/>
      <c r="U297" s="39" t="str">
        <f>SUBSTITUTE(SUBSTITUTE(SUBSTITUTE(SUBSTITUTE(SUBSTITUTE(SUBSTITUTE(UPPER(S297),"Å","A"),"É","E"),"È","E"),"Ê","E"),"Î","I"),"Ï","I")</f>
        <v/>
      </c>
      <c r="V297" s="38"/>
      <c r="W297" s="38"/>
      <c r="X297" s="53"/>
      <c r="Y297" s="42"/>
      <c r="Z297" s="42"/>
      <c r="AA297" s="42"/>
    </row>
    <row r="298" ht="13.75" customHeight="1">
      <c r="A298" s="14" t="s">
        <v>140</v>
      </c>
      <c r="B298" s="50"/>
      <c r="C298" s="43"/>
      <c r="D298" s="43"/>
      <c r="E298" s="44"/>
      <c r="F298" s="44"/>
      <c r="G298" s="44"/>
      <c r="H298" s="45"/>
      <c r="I298" s="54"/>
      <c r="J298" s="47" t="str">
        <f>IF(OR(K298="ERREUR",L298="ERREUR",M298="ERREUR",N298="ERREUR",O298="ERREUR",P298="ERREUR",Q298="ERREUR"),"ERREUR",IF(AND(K298="",L298="",M298="",N298="",O298="",P298="",Q298=""),"ligne vide",IF(OR(K298="",L298="",M298="",N298="",O298="",P298="",Q298=""),"ligne incomplète","Valide")))</f>
        <v xml:space="preserve">ligne vide</v>
      </c>
      <c r="K298" s="48" t="str">
        <f>IF(ISBLANK(B298),IF(ISBLANK(B299),T(B298),"ERREUR"),IF(ISNUMBER(B298),_xlfn.NUMBERVALUE(B298),IF(ISTEXT(B298),VALUE(B298),"ERREUR")))</f>
        <v/>
      </c>
      <c r="L298" s="38" t="str">
        <f>IF(COUNTIF($R$4:$R$6,C298)&gt;0,C298,IF(ISBLANK(C298),IF(ISBLANK(D298),T(C298),"ERREUR"),"ERREUR"))</f>
        <v/>
      </c>
      <c r="M298" s="49" t="str">
        <f>IF(ISBLANK(D298),IF(ISBLANK(D299),T(D298),"ERREUR"),IF(COUNTIF($T$4:$T$240,SUBSTITUTE(SUBSTITUTE(SUBSTITUTE(SUBSTITUTE(SUBSTITUTE(SUBSTITUTE(UPPER(D298),"Å","A"),"É","E"),"È","E"),"Ê","E"),"Î","I"),"Ï","I"))&gt;0,D298,IF(ISBLANK(D298),T(D298),"ERREUR")))</f>
        <v/>
      </c>
      <c r="N298" s="38" t="str">
        <f>IF(COUNTIF($V$4:$V$6,E298)&gt;0,E298,IF(ISBLANK(E298),IF(ISBLANK(E299),T(E298),"ERREUR"),"ERREUR"))</f>
        <v/>
      </c>
      <c r="O298" s="38" t="str">
        <f>IF(COUNTIF($W$4:$W$5,F298)&gt;0,F298,IF(ISBLANK(F298),IF(ISBLANK(F299),T(F298),"ERREUR"),"ERREUR"))</f>
        <v/>
      </c>
      <c r="P298" s="38" t="str">
        <f>IF(COUNTIF($X$4:$X$8,G298)&gt;0,G298,IF(ISBLANK(G298),IF(ISBLANK(G299),T(G298),"ERREUR"),"ERREUR"))</f>
        <v/>
      </c>
      <c r="Q298" s="38" t="str">
        <f>IF(ISNUMBER(H298),IF(INT(H298)=H298,H298,"ERREUR"),IF(ISBLANK(H298),IF(ISBLANK(H299),T(H298),"ERREUR"),"ERREUR"))</f>
        <v/>
      </c>
      <c r="R298" s="38"/>
      <c r="S298" s="38"/>
      <c r="T298" s="38"/>
      <c r="U298" s="39" t="str">
        <f>SUBSTITUTE(SUBSTITUTE(SUBSTITUTE(SUBSTITUTE(SUBSTITUTE(SUBSTITUTE(UPPER(S298),"Å","A"),"É","E"),"È","E"),"Ê","E"),"Î","I"),"Ï","I")</f>
        <v/>
      </c>
      <c r="V298" s="38"/>
      <c r="W298" s="38"/>
      <c r="X298" s="53"/>
      <c r="Y298" s="42"/>
      <c r="Z298" s="42"/>
      <c r="AA298" s="42"/>
    </row>
    <row r="299" ht="13.75" customHeight="1">
      <c r="A299" s="14" t="s">
        <v>140</v>
      </c>
      <c r="B299" s="50"/>
      <c r="C299" s="43"/>
      <c r="D299" s="43"/>
      <c r="E299" s="44"/>
      <c r="F299" s="44"/>
      <c r="G299" s="44"/>
      <c r="H299" s="45"/>
      <c r="I299" s="54"/>
      <c r="J299" s="47" t="str">
        <f>IF(OR(K299="ERREUR",L299="ERREUR",M299="ERREUR",N299="ERREUR",O299="ERREUR",P299="ERREUR",Q299="ERREUR"),"ERREUR",IF(AND(K299="",L299="",M299="",N299="",O299="",P299="",Q299=""),"ligne vide",IF(OR(K299="",L299="",M299="",N299="",O299="",P299="",Q299=""),"ligne incomplète","Valide")))</f>
        <v xml:space="preserve">ligne vide</v>
      </c>
      <c r="K299" s="48" t="str">
        <f>IF(ISBLANK(B299),IF(ISBLANK(B300),T(B299),"ERREUR"),IF(ISNUMBER(B299),_xlfn.NUMBERVALUE(B299),IF(ISTEXT(B299),VALUE(B299),"ERREUR")))</f>
        <v/>
      </c>
      <c r="L299" s="38" t="str">
        <f>IF(COUNTIF($R$4:$R$6,C299)&gt;0,C299,IF(ISBLANK(C299),IF(ISBLANK(D299),T(C299),"ERREUR"),"ERREUR"))</f>
        <v/>
      </c>
      <c r="M299" s="49" t="str">
        <f>IF(ISBLANK(D299),IF(ISBLANK(D300),T(D299),"ERREUR"),IF(COUNTIF($T$4:$T$240,SUBSTITUTE(SUBSTITUTE(SUBSTITUTE(SUBSTITUTE(SUBSTITUTE(SUBSTITUTE(UPPER(D299),"Å","A"),"É","E"),"È","E"),"Ê","E"),"Î","I"),"Ï","I"))&gt;0,D299,IF(ISBLANK(D299),T(D299),"ERREUR")))</f>
        <v/>
      </c>
      <c r="N299" s="38" t="str">
        <f>IF(COUNTIF($V$4:$V$6,E299)&gt;0,E299,IF(ISBLANK(E299),IF(ISBLANK(E300),T(E299),"ERREUR"),"ERREUR"))</f>
        <v/>
      </c>
      <c r="O299" s="38" t="str">
        <f>IF(COUNTIF($W$4:$W$5,F299)&gt;0,F299,IF(ISBLANK(F299),IF(ISBLANK(F300),T(F299),"ERREUR"),"ERREUR"))</f>
        <v/>
      </c>
      <c r="P299" s="38" t="str">
        <f>IF(COUNTIF($X$4:$X$8,G299)&gt;0,G299,IF(ISBLANK(G299),IF(ISBLANK(G300),T(G299),"ERREUR"),"ERREUR"))</f>
        <v/>
      </c>
      <c r="Q299" s="38" t="str">
        <f>IF(ISNUMBER(H299),IF(INT(H299)=H299,H299,"ERREUR"),IF(ISBLANK(H299),IF(ISBLANK(H300),T(H299),"ERREUR"),"ERREUR"))</f>
        <v/>
      </c>
      <c r="R299" s="38"/>
      <c r="S299" s="38"/>
      <c r="T299" s="38"/>
      <c r="U299" s="39" t="str">
        <f>SUBSTITUTE(SUBSTITUTE(SUBSTITUTE(SUBSTITUTE(SUBSTITUTE(SUBSTITUTE(UPPER(S299),"Å","A"),"É","E"),"È","E"),"Ê","E"),"Î","I"),"Ï","I")</f>
        <v/>
      </c>
      <c r="V299" s="38"/>
      <c r="W299" s="38"/>
      <c r="X299" s="53"/>
      <c r="Y299" s="42"/>
      <c r="Z299" s="42"/>
      <c r="AA299" s="42"/>
    </row>
    <row r="300" ht="13.75" customHeight="1">
      <c r="A300" s="14" t="s">
        <v>140</v>
      </c>
      <c r="B300" s="50"/>
      <c r="C300" s="43"/>
      <c r="D300" s="43"/>
      <c r="E300" s="44"/>
      <c r="F300" s="44"/>
      <c r="G300" s="44"/>
      <c r="H300" s="45"/>
      <c r="I300" s="54"/>
      <c r="J300" s="47" t="str">
        <f>IF(OR(K300="ERREUR",L300="ERREUR",M300="ERREUR",N300="ERREUR",O300="ERREUR",P300="ERREUR",Q300="ERREUR"),"ERREUR",IF(AND(K300="",L300="",M300="",N300="",O300="",P300="",Q300=""),"ligne vide",IF(OR(K300="",L300="",M300="",N300="",O300="",P300="",Q300=""),"ligne incomplète","Valide")))</f>
        <v xml:space="preserve">ligne vide</v>
      </c>
      <c r="K300" s="48" t="str">
        <f>IF(ISBLANK(B300),IF(ISBLANK(B301),T(B300),"ERREUR"),IF(ISNUMBER(B300),_xlfn.NUMBERVALUE(B300),IF(ISTEXT(B300),VALUE(B300),"ERREUR")))</f>
        <v/>
      </c>
      <c r="L300" s="38" t="str">
        <f>IF(COUNTIF($R$4:$R$6,C300)&gt;0,C300,IF(ISBLANK(C300),IF(ISBLANK(D300),T(C300),"ERREUR"),"ERREUR"))</f>
        <v/>
      </c>
      <c r="M300" s="49" t="str">
        <f>IF(ISBLANK(D300),IF(ISBLANK(D301),T(D300),"ERREUR"),IF(COUNTIF($T$4:$T$240,SUBSTITUTE(SUBSTITUTE(SUBSTITUTE(SUBSTITUTE(SUBSTITUTE(SUBSTITUTE(UPPER(D300),"Å","A"),"É","E"),"È","E"),"Ê","E"),"Î","I"),"Ï","I"))&gt;0,D300,IF(ISBLANK(D300),T(D300),"ERREUR")))</f>
        <v/>
      </c>
      <c r="N300" s="38" t="str">
        <f>IF(COUNTIF($V$4:$V$6,E300)&gt;0,E300,IF(ISBLANK(E300),IF(ISBLANK(E301),T(E300),"ERREUR"),"ERREUR"))</f>
        <v/>
      </c>
      <c r="O300" s="38" t="str">
        <f>IF(COUNTIF($W$4:$W$5,F300)&gt;0,F300,IF(ISBLANK(F300),IF(ISBLANK(F301),T(F300),"ERREUR"),"ERREUR"))</f>
        <v/>
      </c>
      <c r="P300" s="38" t="str">
        <f>IF(COUNTIF($X$4:$X$8,G300)&gt;0,G300,IF(ISBLANK(G300),IF(ISBLANK(G301),T(G300),"ERREUR"),"ERREUR"))</f>
        <v/>
      </c>
      <c r="Q300" s="38" t="str">
        <f>IF(ISNUMBER(H300),IF(INT(H300)=H300,H300,"ERREUR"),IF(ISBLANK(H300),IF(ISBLANK(H301),T(H300),"ERREUR"),"ERREUR"))</f>
        <v/>
      </c>
      <c r="R300" s="38"/>
      <c r="S300" s="38"/>
      <c r="T300" s="38"/>
      <c r="U300" s="39" t="str">
        <f>SUBSTITUTE(SUBSTITUTE(SUBSTITUTE(SUBSTITUTE(SUBSTITUTE(SUBSTITUTE(UPPER(S300),"Å","A"),"É","E"),"È","E"),"Ê","E"),"Î","I"),"Ï","I")</f>
        <v/>
      </c>
      <c r="V300" s="38"/>
      <c r="W300" s="38"/>
      <c r="X300" s="53"/>
      <c r="Y300" s="42"/>
      <c r="Z300" s="42"/>
      <c r="AA300" s="42"/>
    </row>
    <row r="301" ht="13.75" customHeight="1">
      <c r="A301" s="14" t="s">
        <v>140</v>
      </c>
      <c r="B301" s="50"/>
      <c r="C301" s="43"/>
      <c r="D301" s="43"/>
      <c r="E301" s="44"/>
      <c r="F301" s="44"/>
      <c r="G301" s="44"/>
      <c r="H301" s="45"/>
      <c r="I301" s="54"/>
      <c r="J301" s="47" t="str">
        <f>IF(OR(K301="ERREUR",L301="ERREUR",M301="ERREUR",N301="ERREUR",O301="ERREUR",P301="ERREUR",Q301="ERREUR"),"ERREUR",IF(AND(K301="",L301="",M301="",N301="",O301="",P301="",Q301=""),"ligne vide",IF(OR(K301="",L301="",M301="",N301="",O301="",P301="",Q301=""),"ligne incomplète","Valide")))</f>
        <v xml:space="preserve">ligne vide</v>
      </c>
      <c r="K301" s="48" t="str">
        <f>IF(ISBLANK(B301),IF(ISBLANK(B302),T(B301),"ERREUR"),IF(ISNUMBER(B301),_xlfn.NUMBERVALUE(B301),IF(ISTEXT(B301),VALUE(B301),"ERREUR")))</f>
        <v/>
      </c>
      <c r="L301" s="38" t="str">
        <f>IF(COUNTIF($R$4:$R$6,C301)&gt;0,C301,IF(ISBLANK(C301),IF(ISBLANK(D301),T(C301),"ERREUR"),"ERREUR"))</f>
        <v/>
      </c>
      <c r="M301" s="49" t="str">
        <f>IF(ISBLANK(D301),IF(ISBLANK(D302),T(D301),"ERREUR"),IF(COUNTIF($T$4:$T$240,SUBSTITUTE(SUBSTITUTE(SUBSTITUTE(SUBSTITUTE(SUBSTITUTE(SUBSTITUTE(UPPER(D301),"Å","A"),"É","E"),"È","E"),"Ê","E"),"Î","I"),"Ï","I"))&gt;0,D301,IF(ISBLANK(D301),T(D301),"ERREUR")))</f>
        <v/>
      </c>
      <c r="N301" s="38" t="str">
        <f>IF(COUNTIF($V$4:$V$6,E301)&gt;0,E301,IF(ISBLANK(E301),IF(ISBLANK(E302),T(E301),"ERREUR"),"ERREUR"))</f>
        <v/>
      </c>
      <c r="O301" s="38" t="str">
        <f>IF(COUNTIF($W$4:$W$5,F301)&gt;0,F301,IF(ISBLANK(F301),IF(ISBLANK(F302),T(F301),"ERREUR"),"ERREUR"))</f>
        <v/>
      </c>
      <c r="P301" s="38" t="str">
        <f>IF(COUNTIF($X$4:$X$8,G301)&gt;0,G301,IF(ISBLANK(G301),IF(ISBLANK(G302),T(G301),"ERREUR"),"ERREUR"))</f>
        <v/>
      </c>
      <c r="Q301" s="38" t="str">
        <f>IF(ISNUMBER(H301),IF(INT(H301)=H301,H301,"ERREUR"),IF(ISBLANK(H301),IF(ISBLANK(H302),T(H301),"ERREUR"),"ERREUR"))</f>
        <v/>
      </c>
      <c r="R301" s="38"/>
      <c r="S301" s="38"/>
      <c r="T301" s="38"/>
      <c r="U301" s="39" t="str">
        <f>SUBSTITUTE(SUBSTITUTE(SUBSTITUTE(SUBSTITUTE(SUBSTITUTE(SUBSTITUTE(UPPER(S301),"Å","A"),"É","E"),"È","E"),"Ê","E"),"Î","I"),"Ï","I")</f>
        <v/>
      </c>
      <c r="V301" s="38"/>
      <c r="W301" s="38"/>
      <c r="X301" s="53"/>
      <c r="Y301" s="42"/>
      <c r="Z301" s="42"/>
      <c r="AA301" s="42"/>
    </row>
    <row r="302" ht="13.75" customHeight="1">
      <c r="A302" s="14" t="s">
        <v>140</v>
      </c>
      <c r="B302" s="50"/>
      <c r="C302" s="43"/>
      <c r="D302" s="43"/>
      <c r="E302" s="44"/>
      <c r="F302" s="44"/>
      <c r="G302" s="44"/>
      <c r="H302" s="45"/>
      <c r="I302" s="54"/>
      <c r="J302" s="47" t="str">
        <f>IF(OR(K302="ERREUR",L302="ERREUR",M302="ERREUR",N302="ERREUR",O302="ERREUR",P302="ERREUR",Q302="ERREUR"),"ERREUR",IF(AND(K302="",L302="",M302="",N302="",O302="",P302="",Q302=""),"ligne vide",IF(OR(K302="",L302="",M302="",N302="",O302="",P302="",Q302=""),"ligne incomplète","Valide")))</f>
        <v xml:space="preserve">ligne vide</v>
      </c>
      <c r="K302" s="48" t="str">
        <f>IF(ISBLANK(B302),IF(ISBLANK(B303),T(B302),"ERREUR"),IF(ISNUMBER(B302),_xlfn.NUMBERVALUE(B302),IF(ISTEXT(B302),VALUE(B302),"ERREUR")))</f>
        <v/>
      </c>
      <c r="L302" s="38" t="str">
        <f>IF(COUNTIF($R$4:$R$6,C302)&gt;0,C302,IF(ISBLANK(C302),IF(ISBLANK(D302),T(C302),"ERREUR"),"ERREUR"))</f>
        <v/>
      </c>
      <c r="M302" s="49" t="str">
        <f>IF(ISBLANK(D302),IF(ISBLANK(D303),T(D302),"ERREUR"),IF(COUNTIF($T$4:$T$240,SUBSTITUTE(SUBSTITUTE(SUBSTITUTE(SUBSTITUTE(SUBSTITUTE(SUBSTITUTE(UPPER(D302),"Å","A"),"É","E"),"È","E"),"Ê","E"),"Î","I"),"Ï","I"))&gt;0,D302,IF(ISBLANK(D302),T(D302),"ERREUR")))</f>
        <v/>
      </c>
      <c r="N302" s="38" t="str">
        <f>IF(COUNTIF($V$4:$V$6,E302)&gt;0,E302,IF(ISBLANK(E302),IF(ISBLANK(E303),T(E302),"ERREUR"),"ERREUR"))</f>
        <v/>
      </c>
      <c r="O302" s="38" t="str">
        <f>IF(COUNTIF($W$4:$W$5,F302)&gt;0,F302,IF(ISBLANK(F302),IF(ISBLANK(F303),T(F302),"ERREUR"),"ERREUR"))</f>
        <v/>
      </c>
      <c r="P302" s="38" t="str">
        <f>IF(COUNTIF($X$4:$X$8,G302)&gt;0,G302,IF(ISBLANK(G302),IF(ISBLANK(G303),T(G302),"ERREUR"),"ERREUR"))</f>
        <v/>
      </c>
      <c r="Q302" s="38" t="str">
        <f>IF(ISNUMBER(H302),IF(INT(H302)=H302,H302,"ERREUR"),IF(ISBLANK(H302),IF(ISBLANK(H303),T(H302),"ERREUR"),"ERREUR"))</f>
        <v/>
      </c>
      <c r="R302" s="38"/>
      <c r="S302" s="38"/>
      <c r="T302" s="38"/>
      <c r="U302" s="39" t="str">
        <f>SUBSTITUTE(SUBSTITUTE(SUBSTITUTE(SUBSTITUTE(SUBSTITUTE(SUBSTITUTE(UPPER(S302),"Å","A"),"É","E"),"È","E"),"Ê","E"),"Î","I"),"Ï","I")</f>
        <v/>
      </c>
      <c r="V302" s="38"/>
      <c r="W302" s="38"/>
      <c r="X302" s="53"/>
      <c r="Y302" s="42"/>
      <c r="Z302" s="42"/>
      <c r="AA302" s="42"/>
    </row>
    <row r="303" ht="13.75" customHeight="1">
      <c r="A303" s="14" t="s">
        <v>140</v>
      </c>
      <c r="B303" s="50"/>
      <c r="C303" s="43"/>
      <c r="D303" s="43"/>
      <c r="E303" s="44"/>
      <c r="F303" s="44"/>
      <c r="G303" s="44"/>
      <c r="H303" s="45"/>
      <c r="I303" s="54"/>
      <c r="J303" s="47" t="str">
        <f>IF(OR(K303="ERREUR",L303="ERREUR",M303="ERREUR",N303="ERREUR",O303="ERREUR",P303="ERREUR",Q303="ERREUR"),"ERREUR",IF(AND(K303="",L303="",M303="",N303="",O303="",P303="",Q303=""),"ligne vide",IF(OR(K303="",L303="",M303="",N303="",O303="",P303="",Q303=""),"ligne incomplète","Valide")))</f>
        <v xml:space="preserve">ligne vide</v>
      </c>
      <c r="K303" s="48" t="str">
        <f>IF(ISBLANK(B303),IF(ISBLANK(B304),T(B303),"ERREUR"),IF(ISNUMBER(B303),_xlfn.NUMBERVALUE(B303),IF(ISTEXT(B303),VALUE(B303),"ERREUR")))</f>
        <v/>
      </c>
      <c r="L303" s="38" t="str">
        <f>IF(COUNTIF($R$4:$R$6,C303)&gt;0,C303,IF(ISBLANK(C303),IF(ISBLANK(D303),T(C303),"ERREUR"),"ERREUR"))</f>
        <v/>
      </c>
      <c r="M303" s="49" t="str">
        <f>IF(ISBLANK(D303),IF(ISBLANK(D304),T(D303),"ERREUR"),IF(COUNTIF($T$4:$T$240,SUBSTITUTE(SUBSTITUTE(SUBSTITUTE(SUBSTITUTE(SUBSTITUTE(SUBSTITUTE(UPPER(D303),"Å","A"),"É","E"),"È","E"),"Ê","E"),"Î","I"),"Ï","I"))&gt;0,D303,IF(ISBLANK(D303),T(D303),"ERREUR")))</f>
        <v/>
      </c>
      <c r="N303" s="38" t="str">
        <f>IF(COUNTIF($V$4:$V$6,E303)&gt;0,E303,IF(ISBLANK(E303),IF(ISBLANK(E304),T(E303),"ERREUR"),"ERREUR"))</f>
        <v/>
      </c>
      <c r="O303" s="38" t="str">
        <f>IF(COUNTIF($W$4:$W$5,F303)&gt;0,F303,IF(ISBLANK(F303),IF(ISBLANK(F304),T(F303),"ERREUR"),"ERREUR"))</f>
        <v/>
      </c>
      <c r="P303" s="38" t="str">
        <f>IF(COUNTIF($X$4:$X$8,G303)&gt;0,G303,IF(ISBLANK(G303),IF(ISBLANK(G304),T(G303),"ERREUR"),"ERREUR"))</f>
        <v/>
      </c>
      <c r="Q303" s="38" t="str">
        <f>IF(ISNUMBER(H303),IF(INT(H303)=H303,H303,"ERREUR"),IF(ISBLANK(H303),IF(ISBLANK(H304),T(H303),"ERREUR"),"ERREUR"))</f>
        <v/>
      </c>
      <c r="R303" s="38"/>
      <c r="S303" s="38"/>
      <c r="T303" s="38"/>
      <c r="U303" s="39" t="str">
        <f>SUBSTITUTE(SUBSTITUTE(SUBSTITUTE(SUBSTITUTE(SUBSTITUTE(SUBSTITUTE(UPPER(S303),"Å","A"),"É","E"),"È","E"),"Ê","E"),"Î","I"),"Ï","I")</f>
        <v/>
      </c>
      <c r="V303" s="38"/>
      <c r="W303" s="38"/>
      <c r="X303" s="53"/>
      <c r="Y303" s="42"/>
      <c r="Z303" s="42"/>
      <c r="AA303" s="42"/>
    </row>
    <row r="304" ht="13.75" customHeight="1">
      <c r="A304" s="14" t="s">
        <v>140</v>
      </c>
      <c r="B304" s="50"/>
      <c r="C304" s="43"/>
      <c r="D304" s="43"/>
      <c r="E304" s="44"/>
      <c r="F304" s="44"/>
      <c r="G304" s="44"/>
      <c r="H304" s="45"/>
      <c r="I304" s="54"/>
      <c r="J304" s="47" t="str">
        <f>IF(OR(K304="ERREUR",L304="ERREUR",M304="ERREUR",N304="ERREUR",O304="ERREUR",P304="ERREUR",Q304="ERREUR"),"ERREUR",IF(AND(K304="",L304="",M304="",N304="",O304="",P304="",Q304=""),"ligne vide",IF(OR(K304="",L304="",M304="",N304="",O304="",P304="",Q304=""),"ligne incomplète","Valide")))</f>
        <v xml:space="preserve">ligne vide</v>
      </c>
      <c r="K304" s="48" t="str">
        <f>IF(ISBLANK(B304),IF(ISBLANK(B305),T(B304),"ERREUR"),IF(ISNUMBER(B304),_xlfn.NUMBERVALUE(B304),IF(ISTEXT(B304),VALUE(B304),"ERREUR")))</f>
        <v/>
      </c>
      <c r="L304" s="38" t="str">
        <f>IF(COUNTIF($R$4:$R$6,C304)&gt;0,C304,IF(ISBLANK(C304),IF(ISBLANK(D304),T(C304),"ERREUR"),"ERREUR"))</f>
        <v/>
      </c>
      <c r="M304" s="49" t="str">
        <f>IF(ISBLANK(D304),IF(ISBLANK(D305),T(D304),"ERREUR"),IF(COUNTIF($T$4:$T$240,SUBSTITUTE(SUBSTITUTE(SUBSTITUTE(SUBSTITUTE(SUBSTITUTE(SUBSTITUTE(UPPER(D304),"Å","A"),"É","E"),"È","E"),"Ê","E"),"Î","I"),"Ï","I"))&gt;0,D304,IF(ISBLANK(D304),T(D304),"ERREUR")))</f>
        <v/>
      </c>
      <c r="N304" s="38" t="str">
        <f>IF(COUNTIF($V$4:$V$6,E304)&gt;0,E304,IF(ISBLANK(E304),IF(ISBLANK(E305),T(E304),"ERREUR"),"ERREUR"))</f>
        <v/>
      </c>
      <c r="O304" s="38" t="str">
        <f>IF(COUNTIF($W$4:$W$5,F304)&gt;0,F304,IF(ISBLANK(F304),IF(ISBLANK(F305),T(F304),"ERREUR"),"ERREUR"))</f>
        <v/>
      </c>
      <c r="P304" s="38" t="str">
        <f>IF(COUNTIF($X$4:$X$8,G304)&gt;0,G304,IF(ISBLANK(G304),IF(ISBLANK(G305),T(G304),"ERREUR"),"ERREUR"))</f>
        <v/>
      </c>
      <c r="Q304" s="38" t="str">
        <f>IF(ISNUMBER(H304),IF(INT(H304)=H304,H304,"ERREUR"),IF(ISBLANK(H304),IF(ISBLANK(H305),T(H304),"ERREUR"),"ERREUR"))</f>
        <v/>
      </c>
      <c r="R304" s="38"/>
      <c r="S304" s="38"/>
      <c r="T304" s="38"/>
      <c r="U304" s="39" t="str">
        <f>SUBSTITUTE(SUBSTITUTE(SUBSTITUTE(SUBSTITUTE(SUBSTITUTE(SUBSTITUTE(UPPER(S304),"Å","A"),"É","E"),"È","E"),"Ê","E"),"Î","I"),"Ï","I")</f>
        <v/>
      </c>
      <c r="V304" s="38"/>
      <c r="W304" s="38"/>
      <c r="X304" s="53"/>
      <c r="Y304" s="42"/>
      <c r="Z304" s="42"/>
      <c r="AA304" s="42"/>
    </row>
    <row r="305" ht="13.75" customHeight="1">
      <c r="A305" s="14" t="s">
        <v>140</v>
      </c>
      <c r="B305" s="50"/>
      <c r="C305" s="43"/>
      <c r="D305" s="43"/>
      <c r="E305" s="44"/>
      <c r="F305" s="44"/>
      <c r="G305" s="44"/>
      <c r="H305" s="45"/>
      <c r="I305" s="54"/>
      <c r="J305" s="47" t="str">
        <f>IF(OR(K305="ERREUR",L305="ERREUR",M305="ERREUR",N305="ERREUR",O305="ERREUR",P305="ERREUR",Q305="ERREUR"),"ERREUR",IF(AND(K305="",L305="",M305="",N305="",O305="",P305="",Q305=""),"ligne vide",IF(OR(K305="",L305="",M305="",N305="",O305="",P305="",Q305=""),"ligne incomplète","Valide")))</f>
        <v xml:space="preserve">ligne vide</v>
      </c>
      <c r="K305" s="48" t="str">
        <f>IF(ISBLANK(B305),IF(ISBLANK(B306),T(B305),"ERREUR"),IF(ISNUMBER(B305),_xlfn.NUMBERVALUE(B305),IF(ISTEXT(B305),VALUE(B305),"ERREUR")))</f>
        <v/>
      </c>
      <c r="L305" s="38" t="str">
        <f>IF(COUNTIF($R$4:$R$6,C305)&gt;0,C305,IF(ISBLANK(C305),IF(ISBLANK(D305),T(C305),"ERREUR"),"ERREUR"))</f>
        <v/>
      </c>
      <c r="M305" s="49" t="str">
        <f>IF(ISBLANK(D305),IF(ISBLANK(D306),T(D305),"ERREUR"),IF(COUNTIF($T$4:$T$240,SUBSTITUTE(SUBSTITUTE(SUBSTITUTE(SUBSTITUTE(SUBSTITUTE(SUBSTITUTE(UPPER(D305),"Å","A"),"É","E"),"È","E"),"Ê","E"),"Î","I"),"Ï","I"))&gt;0,D305,IF(ISBLANK(D305),T(D305),"ERREUR")))</f>
        <v/>
      </c>
      <c r="N305" s="38" t="str">
        <f>IF(COUNTIF($V$4:$V$6,E305)&gt;0,E305,IF(ISBLANK(E305),IF(ISBLANK(E306),T(E305),"ERREUR"),"ERREUR"))</f>
        <v/>
      </c>
      <c r="O305" s="38" t="str">
        <f>IF(COUNTIF($W$4:$W$5,F305)&gt;0,F305,IF(ISBLANK(F305),IF(ISBLANK(F306),T(F305),"ERREUR"),"ERREUR"))</f>
        <v/>
      </c>
      <c r="P305" s="38" t="str">
        <f>IF(COUNTIF($X$4:$X$8,G305)&gt;0,G305,IF(ISBLANK(G305),IF(ISBLANK(G306),T(G305),"ERREUR"),"ERREUR"))</f>
        <v/>
      </c>
      <c r="Q305" s="38" t="str">
        <f>IF(ISNUMBER(H305),IF(INT(H305)=H305,H305,"ERREUR"),IF(ISBLANK(H305),IF(ISBLANK(H306),T(H305),"ERREUR"),"ERREUR"))</f>
        <v/>
      </c>
      <c r="R305" s="38"/>
      <c r="S305" s="38"/>
      <c r="T305" s="38"/>
      <c r="U305" s="39" t="str">
        <f>SUBSTITUTE(SUBSTITUTE(SUBSTITUTE(SUBSTITUTE(SUBSTITUTE(SUBSTITUTE(UPPER(S305),"Å","A"),"É","E"),"È","E"),"Ê","E"),"Î","I"),"Ï","I")</f>
        <v/>
      </c>
      <c r="V305" s="38"/>
      <c r="W305" s="38"/>
      <c r="X305" s="53"/>
      <c r="Y305" s="42"/>
      <c r="Z305" s="42"/>
      <c r="AA305" s="42"/>
    </row>
    <row r="306" ht="13.75" customHeight="1">
      <c r="A306" s="14" t="s">
        <v>140</v>
      </c>
      <c r="B306" s="50"/>
      <c r="C306" s="43"/>
      <c r="D306" s="43"/>
      <c r="E306" s="44"/>
      <c r="F306" s="44"/>
      <c r="G306" s="44"/>
      <c r="H306" s="45"/>
      <c r="I306" s="54"/>
      <c r="J306" s="47" t="str">
        <f>IF(OR(K306="ERREUR",L306="ERREUR",M306="ERREUR",N306="ERREUR",O306="ERREUR",P306="ERREUR",Q306="ERREUR"),"ERREUR",IF(AND(K306="",L306="",M306="",N306="",O306="",P306="",Q306=""),"ligne vide",IF(OR(K306="",L306="",M306="",N306="",O306="",P306="",Q306=""),"ligne incomplète","Valide")))</f>
        <v xml:space="preserve">ligne vide</v>
      </c>
      <c r="K306" s="48" t="str">
        <f>IF(ISBLANK(B306),IF(ISBLANK(B307),T(B306),"ERREUR"),IF(ISNUMBER(B306),_xlfn.NUMBERVALUE(B306),IF(ISTEXT(B306),VALUE(B306),"ERREUR")))</f>
        <v/>
      </c>
      <c r="L306" s="38" t="str">
        <f>IF(COUNTIF($R$4:$R$6,C306)&gt;0,C306,IF(ISBLANK(C306),IF(ISBLANK(D306),T(C306),"ERREUR"),"ERREUR"))</f>
        <v/>
      </c>
      <c r="M306" s="49" t="str">
        <f>IF(ISBLANK(D306),IF(ISBLANK(D307),T(D306),"ERREUR"),IF(COUNTIF($T$4:$T$240,SUBSTITUTE(SUBSTITUTE(SUBSTITUTE(SUBSTITUTE(SUBSTITUTE(SUBSTITUTE(UPPER(D306),"Å","A"),"É","E"),"È","E"),"Ê","E"),"Î","I"),"Ï","I"))&gt;0,D306,IF(ISBLANK(D306),T(D306),"ERREUR")))</f>
        <v/>
      </c>
      <c r="N306" s="38" t="str">
        <f>IF(COUNTIF($V$4:$V$6,E306)&gt;0,E306,IF(ISBLANK(E306),IF(ISBLANK(E307),T(E306),"ERREUR"),"ERREUR"))</f>
        <v/>
      </c>
      <c r="O306" s="38" t="str">
        <f>IF(COUNTIF($W$4:$W$5,F306)&gt;0,F306,IF(ISBLANK(F306),IF(ISBLANK(F307),T(F306),"ERREUR"),"ERREUR"))</f>
        <v/>
      </c>
      <c r="P306" s="38" t="str">
        <f>IF(COUNTIF($X$4:$X$8,G306)&gt;0,G306,IF(ISBLANK(G306),IF(ISBLANK(G307),T(G306),"ERREUR"),"ERREUR"))</f>
        <v/>
      </c>
      <c r="Q306" s="38" t="str">
        <f>IF(ISNUMBER(H306),IF(INT(H306)=H306,H306,"ERREUR"),IF(ISBLANK(H306),IF(ISBLANK(H307),T(H306),"ERREUR"),"ERREUR"))</f>
        <v/>
      </c>
      <c r="R306" s="38"/>
      <c r="S306" s="38"/>
      <c r="T306" s="38"/>
      <c r="U306" s="39" t="str">
        <f>SUBSTITUTE(SUBSTITUTE(SUBSTITUTE(SUBSTITUTE(SUBSTITUTE(SUBSTITUTE(UPPER(S306),"Å","A"),"É","E"),"È","E"),"Ê","E"),"Î","I"),"Ï","I")</f>
        <v/>
      </c>
      <c r="V306" s="38"/>
      <c r="W306" s="38"/>
      <c r="X306" s="53"/>
      <c r="Y306" s="42"/>
      <c r="Z306" s="42"/>
      <c r="AA306" s="42"/>
    </row>
    <row r="307" ht="13.75" customHeight="1">
      <c r="A307" s="14" t="s">
        <v>140</v>
      </c>
      <c r="B307" s="50"/>
      <c r="C307" s="43"/>
      <c r="D307" s="43"/>
      <c r="E307" s="44"/>
      <c r="F307" s="44"/>
      <c r="G307" s="44"/>
      <c r="H307" s="45"/>
      <c r="I307" s="54"/>
      <c r="J307" s="47" t="str">
        <f>IF(OR(K307="ERREUR",L307="ERREUR",M307="ERREUR",N307="ERREUR",O307="ERREUR",P307="ERREUR",Q307="ERREUR"),"ERREUR",IF(AND(K307="",L307="",M307="",N307="",O307="",P307="",Q307=""),"ligne vide",IF(OR(K307="",L307="",M307="",N307="",O307="",P307="",Q307=""),"ligne incomplète","Valide")))</f>
        <v xml:space="preserve">ligne vide</v>
      </c>
      <c r="K307" s="48" t="str">
        <f>IF(ISBLANK(B307),IF(ISBLANK(B308),T(B307),"ERREUR"),IF(ISNUMBER(B307),_xlfn.NUMBERVALUE(B307),IF(ISTEXT(B307),VALUE(B307),"ERREUR")))</f>
        <v/>
      </c>
      <c r="L307" s="38" t="str">
        <f>IF(COUNTIF($R$4:$R$6,C307)&gt;0,C307,IF(ISBLANK(C307),IF(ISBLANK(D307),T(C307),"ERREUR"),"ERREUR"))</f>
        <v/>
      </c>
      <c r="M307" s="49" t="str">
        <f>IF(ISBLANK(D307),IF(ISBLANK(D308),T(D307),"ERREUR"),IF(COUNTIF($T$4:$T$240,SUBSTITUTE(SUBSTITUTE(SUBSTITUTE(SUBSTITUTE(SUBSTITUTE(SUBSTITUTE(UPPER(D307),"Å","A"),"É","E"),"È","E"),"Ê","E"),"Î","I"),"Ï","I"))&gt;0,D307,IF(ISBLANK(D307),T(D307),"ERREUR")))</f>
        <v/>
      </c>
      <c r="N307" s="38" t="str">
        <f>IF(COUNTIF($V$4:$V$6,E307)&gt;0,E307,IF(ISBLANK(E307),IF(ISBLANK(E308),T(E307),"ERREUR"),"ERREUR"))</f>
        <v/>
      </c>
      <c r="O307" s="38" t="str">
        <f>IF(COUNTIF($W$4:$W$5,F307)&gt;0,F307,IF(ISBLANK(F307),IF(ISBLANK(F308),T(F307),"ERREUR"),"ERREUR"))</f>
        <v/>
      </c>
      <c r="P307" s="38" t="str">
        <f>IF(COUNTIF($X$4:$X$8,G307)&gt;0,G307,IF(ISBLANK(G307),IF(ISBLANK(G308),T(G307),"ERREUR"),"ERREUR"))</f>
        <v/>
      </c>
      <c r="Q307" s="38" t="str">
        <f>IF(ISNUMBER(H307),IF(INT(H307)=H307,H307,"ERREUR"),IF(ISBLANK(H307),IF(ISBLANK(H308),T(H307),"ERREUR"),"ERREUR"))</f>
        <v/>
      </c>
      <c r="R307" s="38"/>
      <c r="S307" s="38"/>
      <c r="T307" s="38"/>
      <c r="U307" s="39" t="str">
        <f>SUBSTITUTE(SUBSTITUTE(SUBSTITUTE(SUBSTITUTE(SUBSTITUTE(SUBSTITUTE(UPPER(S307),"Å","A"),"É","E"),"È","E"),"Ê","E"),"Î","I"),"Ï","I")</f>
        <v/>
      </c>
      <c r="V307" s="38"/>
      <c r="W307" s="38"/>
      <c r="X307" s="53"/>
      <c r="Y307" s="42"/>
      <c r="Z307" s="42"/>
      <c r="AA307" s="42"/>
    </row>
    <row r="308" ht="13.75" customHeight="1">
      <c r="A308" s="14" t="s">
        <v>140</v>
      </c>
      <c r="B308" s="50"/>
      <c r="C308" s="43"/>
      <c r="D308" s="43"/>
      <c r="E308" s="44"/>
      <c r="F308" s="44"/>
      <c r="G308" s="44"/>
      <c r="H308" s="45"/>
      <c r="I308" s="54"/>
      <c r="J308" s="47" t="str">
        <f>IF(OR(K308="ERREUR",L308="ERREUR",M308="ERREUR",N308="ERREUR",O308="ERREUR",P308="ERREUR",Q308="ERREUR"),"ERREUR",IF(AND(K308="",L308="",M308="",N308="",O308="",P308="",Q308=""),"ligne vide",IF(OR(K308="",L308="",M308="",N308="",O308="",P308="",Q308=""),"ligne incomplète","Valide")))</f>
        <v xml:space="preserve">ligne vide</v>
      </c>
      <c r="K308" s="48" t="str">
        <f>IF(ISBLANK(B308),IF(ISBLANK(B309),T(B308),"ERREUR"),IF(ISNUMBER(B308),_xlfn.NUMBERVALUE(B308),IF(ISTEXT(B308),VALUE(B308),"ERREUR")))</f>
        <v/>
      </c>
      <c r="L308" s="38" t="str">
        <f>IF(COUNTIF($R$4:$R$6,C308)&gt;0,C308,IF(ISBLANK(C308),IF(ISBLANK(D308),T(C308),"ERREUR"),"ERREUR"))</f>
        <v/>
      </c>
      <c r="M308" s="49" t="str">
        <f>IF(ISBLANK(D308),IF(ISBLANK(D309),T(D308),"ERREUR"),IF(COUNTIF($T$4:$T$240,SUBSTITUTE(SUBSTITUTE(SUBSTITUTE(SUBSTITUTE(SUBSTITUTE(SUBSTITUTE(UPPER(D308),"Å","A"),"É","E"),"È","E"),"Ê","E"),"Î","I"),"Ï","I"))&gt;0,D308,IF(ISBLANK(D308),T(D308),"ERREUR")))</f>
        <v/>
      </c>
      <c r="N308" s="38" t="str">
        <f>IF(COUNTIF($V$4:$V$6,E308)&gt;0,E308,IF(ISBLANK(E308),IF(ISBLANK(E309),T(E308),"ERREUR"),"ERREUR"))</f>
        <v/>
      </c>
      <c r="O308" s="38" t="str">
        <f>IF(COUNTIF($W$4:$W$5,F308)&gt;0,F308,IF(ISBLANK(F308),IF(ISBLANK(F309),T(F308),"ERREUR"),"ERREUR"))</f>
        <v/>
      </c>
      <c r="P308" s="38" t="str">
        <f>IF(COUNTIF($X$4:$X$8,G308)&gt;0,G308,IF(ISBLANK(G308),IF(ISBLANK(G309),T(G308),"ERREUR"),"ERREUR"))</f>
        <v/>
      </c>
      <c r="Q308" s="38" t="str">
        <f>IF(ISNUMBER(H308),IF(INT(H308)=H308,H308,"ERREUR"),IF(ISBLANK(H308),IF(ISBLANK(H309),T(H308),"ERREUR"),"ERREUR"))</f>
        <v/>
      </c>
      <c r="R308" s="38"/>
      <c r="S308" s="38"/>
      <c r="T308" s="38"/>
      <c r="U308" s="39" t="str">
        <f>SUBSTITUTE(SUBSTITUTE(SUBSTITUTE(SUBSTITUTE(SUBSTITUTE(SUBSTITUTE(UPPER(S308),"Å","A"),"É","E"),"È","E"),"Ê","E"),"Î","I"),"Ï","I")</f>
        <v/>
      </c>
      <c r="V308" s="38"/>
      <c r="W308" s="38"/>
      <c r="X308" s="53"/>
      <c r="Y308" s="42"/>
      <c r="Z308" s="42"/>
      <c r="AA308" s="42"/>
    </row>
    <row r="309" ht="13.75" customHeight="1">
      <c r="A309" s="14" t="s">
        <v>140</v>
      </c>
      <c r="B309" s="50"/>
      <c r="C309" s="43"/>
      <c r="D309" s="43"/>
      <c r="E309" s="44"/>
      <c r="F309" s="44"/>
      <c r="G309" s="44"/>
      <c r="H309" s="45"/>
      <c r="I309" s="54"/>
      <c r="J309" s="47" t="str">
        <f>IF(OR(K309="ERREUR",L309="ERREUR",M309="ERREUR",N309="ERREUR",O309="ERREUR",P309="ERREUR",Q309="ERREUR"),"ERREUR",IF(AND(K309="",L309="",M309="",N309="",O309="",P309="",Q309=""),"ligne vide",IF(OR(K309="",L309="",M309="",N309="",O309="",P309="",Q309=""),"ligne incomplète","Valide")))</f>
        <v xml:space="preserve">ligne vide</v>
      </c>
      <c r="K309" s="48" t="str">
        <f>IF(ISBLANK(B309),IF(ISBLANK(B310),T(B309),"ERREUR"),IF(ISNUMBER(B309),_xlfn.NUMBERVALUE(B309),IF(ISTEXT(B309),VALUE(B309),"ERREUR")))</f>
        <v/>
      </c>
      <c r="L309" s="38" t="str">
        <f>IF(COUNTIF($R$4:$R$6,C309)&gt;0,C309,IF(ISBLANK(C309),IF(ISBLANK(D309),T(C309),"ERREUR"),"ERREUR"))</f>
        <v/>
      </c>
      <c r="M309" s="49" t="str">
        <f>IF(ISBLANK(D309),IF(ISBLANK(D310),T(D309),"ERREUR"),IF(COUNTIF($T$4:$T$240,SUBSTITUTE(SUBSTITUTE(SUBSTITUTE(SUBSTITUTE(SUBSTITUTE(SUBSTITUTE(UPPER(D309),"Å","A"),"É","E"),"È","E"),"Ê","E"),"Î","I"),"Ï","I"))&gt;0,D309,IF(ISBLANK(D309),T(D309),"ERREUR")))</f>
        <v/>
      </c>
      <c r="N309" s="38" t="str">
        <f>IF(COUNTIF($V$4:$V$6,E309)&gt;0,E309,IF(ISBLANK(E309),IF(ISBLANK(E310),T(E309),"ERREUR"),"ERREUR"))</f>
        <v/>
      </c>
      <c r="O309" s="38" t="str">
        <f>IF(COUNTIF($W$4:$W$5,F309)&gt;0,F309,IF(ISBLANK(F309),IF(ISBLANK(F310),T(F309),"ERREUR"),"ERREUR"))</f>
        <v/>
      </c>
      <c r="P309" s="38" t="str">
        <f>IF(COUNTIF($X$4:$X$8,G309)&gt;0,G309,IF(ISBLANK(G309),IF(ISBLANK(G310),T(G309),"ERREUR"),"ERREUR"))</f>
        <v/>
      </c>
      <c r="Q309" s="38" t="str">
        <f>IF(ISNUMBER(H309),IF(INT(H309)=H309,H309,"ERREUR"),IF(ISBLANK(H309),IF(ISBLANK(H310),T(H309),"ERREUR"),"ERREUR"))</f>
        <v/>
      </c>
      <c r="R309" s="38"/>
      <c r="S309" s="38"/>
      <c r="T309" s="38"/>
      <c r="U309" s="39" t="str">
        <f>SUBSTITUTE(SUBSTITUTE(SUBSTITUTE(SUBSTITUTE(SUBSTITUTE(SUBSTITUTE(UPPER(S309),"Å","A"),"É","E"),"È","E"),"Ê","E"),"Î","I"),"Ï","I")</f>
        <v/>
      </c>
      <c r="V309" s="38"/>
      <c r="W309" s="38"/>
      <c r="X309" s="53"/>
      <c r="Y309" s="42"/>
      <c r="Z309" s="42"/>
      <c r="AA309" s="42"/>
    </row>
    <row r="310" ht="13.75" customHeight="1">
      <c r="A310" s="14" t="s">
        <v>140</v>
      </c>
      <c r="B310" s="50"/>
      <c r="C310" s="43"/>
      <c r="D310" s="43"/>
      <c r="E310" s="44"/>
      <c r="F310" s="44"/>
      <c r="G310" s="44"/>
      <c r="H310" s="45"/>
      <c r="I310" s="54"/>
      <c r="J310" s="47" t="str">
        <f>IF(OR(K310="ERREUR",L310="ERREUR",M310="ERREUR",N310="ERREUR",O310="ERREUR",P310="ERREUR",Q310="ERREUR"),"ERREUR",IF(AND(K310="",L310="",M310="",N310="",O310="",P310="",Q310=""),"ligne vide",IF(OR(K310="",L310="",M310="",N310="",O310="",P310="",Q310=""),"ligne incomplète","Valide")))</f>
        <v xml:space="preserve">ligne vide</v>
      </c>
      <c r="K310" s="48" t="str">
        <f>IF(ISBLANK(B310),IF(ISBLANK(B311),T(B310),"ERREUR"),IF(ISNUMBER(B310),_xlfn.NUMBERVALUE(B310),IF(ISTEXT(B310),VALUE(B310),"ERREUR")))</f>
        <v/>
      </c>
      <c r="L310" s="38" t="str">
        <f>IF(COUNTIF($R$4:$R$6,C310)&gt;0,C310,IF(ISBLANK(C310),IF(ISBLANK(D310),T(C310),"ERREUR"),"ERREUR"))</f>
        <v/>
      </c>
      <c r="M310" s="49" t="str">
        <f>IF(ISBLANK(D310),IF(ISBLANK(D311),T(D310),"ERREUR"),IF(COUNTIF($T$4:$T$240,SUBSTITUTE(SUBSTITUTE(SUBSTITUTE(SUBSTITUTE(SUBSTITUTE(SUBSTITUTE(UPPER(D310),"Å","A"),"É","E"),"È","E"),"Ê","E"),"Î","I"),"Ï","I"))&gt;0,D310,IF(ISBLANK(D310),T(D310),"ERREUR")))</f>
        <v/>
      </c>
      <c r="N310" s="38" t="str">
        <f>IF(COUNTIF($V$4:$V$6,E310)&gt;0,E310,IF(ISBLANK(E310),IF(ISBLANK(E311),T(E310),"ERREUR"),"ERREUR"))</f>
        <v/>
      </c>
      <c r="O310" s="38" t="str">
        <f>IF(COUNTIF($W$4:$W$5,F310)&gt;0,F310,IF(ISBLANK(F310),IF(ISBLANK(F311),T(F310),"ERREUR"),"ERREUR"))</f>
        <v/>
      </c>
      <c r="P310" s="38" t="str">
        <f>IF(COUNTIF($X$4:$X$8,G310)&gt;0,G310,IF(ISBLANK(G310),IF(ISBLANK(G311),T(G310),"ERREUR"),"ERREUR"))</f>
        <v/>
      </c>
      <c r="Q310" s="38" t="str">
        <f>IF(ISNUMBER(H310),IF(INT(H310)=H310,H310,"ERREUR"),IF(ISBLANK(H310),IF(ISBLANK(H311),T(H310),"ERREUR"),"ERREUR"))</f>
        <v/>
      </c>
      <c r="R310" s="38"/>
      <c r="S310" s="38"/>
      <c r="T310" s="38"/>
      <c r="U310" s="39" t="str">
        <f>SUBSTITUTE(SUBSTITUTE(SUBSTITUTE(SUBSTITUTE(SUBSTITUTE(SUBSTITUTE(UPPER(S310),"Å","A"),"É","E"),"È","E"),"Ê","E"),"Î","I"),"Ï","I")</f>
        <v/>
      </c>
      <c r="V310" s="38"/>
      <c r="W310" s="38"/>
      <c r="X310" s="53"/>
      <c r="Y310" s="42"/>
      <c r="Z310" s="42"/>
      <c r="AA310" s="42"/>
    </row>
    <row r="311" ht="13.75" customHeight="1">
      <c r="A311" s="14" t="s">
        <v>140</v>
      </c>
      <c r="B311" s="50"/>
      <c r="C311" s="43"/>
      <c r="D311" s="43"/>
      <c r="E311" s="44"/>
      <c r="F311" s="44"/>
      <c r="G311" s="44"/>
      <c r="H311" s="45"/>
      <c r="I311" s="54"/>
      <c r="J311" s="47" t="str">
        <f>IF(OR(K311="ERREUR",L311="ERREUR",M311="ERREUR",N311="ERREUR",O311="ERREUR",P311="ERREUR",Q311="ERREUR"),"ERREUR",IF(AND(K311="",L311="",M311="",N311="",O311="",P311="",Q311=""),"ligne vide",IF(OR(K311="",L311="",M311="",N311="",O311="",P311="",Q311=""),"ligne incomplète","Valide")))</f>
        <v xml:space="preserve">ligne vide</v>
      </c>
      <c r="K311" s="48" t="str">
        <f>IF(ISBLANK(B311),IF(ISBLANK(B312),T(B311),"ERREUR"),IF(ISNUMBER(B311),_xlfn.NUMBERVALUE(B311),IF(ISTEXT(B311),VALUE(B311),"ERREUR")))</f>
        <v/>
      </c>
      <c r="L311" s="38" t="str">
        <f>IF(COUNTIF($R$4:$R$6,C311)&gt;0,C311,IF(ISBLANK(C311),IF(ISBLANK(D311),T(C311),"ERREUR"),"ERREUR"))</f>
        <v/>
      </c>
      <c r="M311" s="49" t="str">
        <f>IF(ISBLANK(D311),IF(ISBLANK(D312),T(D311),"ERREUR"),IF(COUNTIF($T$4:$T$240,SUBSTITUTE(SUBSTITUTE(SUBSTITUTE(SUBSTITUTE(SUBSTITUTE(SUBSTITUTE(UPPER(D311),"Å","A"),"É","E"),"È","E"),"Ê","E"),"Î","I"),"Ï","I"))&gt;0,D311,IF(ISBLANK(D311),T(D311),"ERREUR")))</f>
        <v/>
      </c>
      <c r="N311" s="38" t="str">
        <f>IF(COUNTIF($V$4:$V$6,E311)&gt;0,E311,IF(ISBLANK(E311),IF(ISBLANK(E312),T(E311),"ERREUR"),"ERREUR"))</f>
        <v/>
      </c>
      <c r="O311" s="38" t="str">
        <f>IF(COUNTIF($W$4:$W$5,F311)&gt;0,F311,IF(ISBLANK(F311),IF(ISBLANK(F312),T(F311),"ERREUR"),"ERREUR"))</f>
        <v/>
      </c>
      <c r="P311" s="38" t="str">
        <f>IF(COUNTIF($X$4:$X$8,G311)&gt;0,G311,IF(ISBLANK(G311),IF(ISBLANK(G312),T(G311),"ERREUR"),"ERREUR"))</f>
        <v/>
      </c>
      <c r="Q311" s="38" t="str">
        <f>IF(ISNUMBER(H311),IF(INT(H311)=H311,H311,"ERREUR"),IF(ISBLANK(H311),IF(ISBLANK(H312),T(H311),"ERREUR"),"ERREUR"))</f>
        <v/>
      </c>
      <c r="R311" s="38"/>
      <c r="S311" s="38"/>
      <c r="T311" s="38"/>
      <c r="U311" s="39" t="str">
        <f>SUBSTITUTE(SUBSTITUTE(SUBSTITUTE(SUBSTITUTE(SUBSTITUTE(SUBSTITUTE(UPPER(S311),"Å","A"),"É","E"),"È","E"),"Ê","E"),"Î","I"),"Ï","I")</f>
        <v/>
      </c>
      <c r="V311" s="38"/>
      <c r="W311" s="38"/>
      <c r="X311" s="53"/>
      <c r="Y311" s="42"/>
      <c r="Z311" s="42"/>
      <c r="AA311" s="42"/>
    </row>
    <row r="312" ht="13.75" customHeight="1">
      <c r="A312" s="14" t="s">
        <v>140</v>
      </c>
      <c r="B312" s="50"/>
      <c r="C312" s="43"/>
      <c r="D312" s="43"/>
      <c r="E312" s="44"/>
      <c r="F312" s="44"/>
      <c r="G312" s="44"/>
      <c r="H312" s="45"/>
      <c r="I312" s="54"/>
      <c r="J312" s="47" t="str">
        <f>IF(OR(K312="ERREUR",L312="ERREUR",M312="ERREUR",N312="ERREUR",O312="ERREUR",P312="ERREUR",Q312="ERREUR"),"ERREUR",IF(AND(K312="",L312="",M312="",N312="",O312="",P312="",Q312=""),"ligne vide",IF(OR(K312="",L312="",M312="",N312="",O312="",P312="",Q312=""),"ligne incomplète","Valide")))</f>
        <v xml:space="preserve">ligne vide</v>
      </c>
      <c r="K312" s="48" t="str">
        <f>IF(ISBLANK(B312),IF(ISBLANK(B313),T(B312),"ERREUR"),IF(ISNUMBER(B312),_xlfn.NUMBERVALUE(B312),IF(ISTEXT(B312),VALUE(B312),"ERREUR")))</f>
        <v/>
      </c>
      <c r="L312" s="38" t="str">
        <f>IF(COUNTIF($R$4:$R$6,C312)&gt;0,C312,IF(ISBLANK(C312),IF(ISBLANK(D312),T(C312),"ERREUR"),"ERREUR"))</f>
        <v/>
      </c>
      <c r="M312" s="49" t="str">
        <f>IF(ISBLANK(D312),IF(ISBLANK(D313),T(D312),"ERREUR"),IF(COUNTIF($T$4:$T$240,SUBSTITUTE(SUBSTITUTE(SUBSTITUTE(SUBSTITUTE(SUBSTITUTE(SUBSTITUTE(UPPER(D312),"Å","A"),"É","E"),"È","E"),"Ê","E"),"Î","I"),"Ï","I"))&gt;0,D312,IF(ISBLANK(D312),T(D312),"ERREUR")))</f>
        <v/>
      </c>
      <c r="N312" s="38" t="str">
        <f>IF(COUNTIF($V$4:$V$6,E312)&gt;0,E312,IF(ISBLANK(E312),IF(ISBLANK(E313),T(E312),"ERREUR"),"ERREUR"))</f>
        <v/>
      </c>
      <c r="O312" s="38" t="str">
        <f>IF(COUNTIF($W$4:$W$5,F312)&gt;0,F312,IF(ISBLANK(F312),IF(ISBLANK(F313),T(F312),"ERREUR"),"ERREUR"))</f>
        <v/>
      </c>
      <c r="P312" s="38" t="str">
        <f>IF(COUNTIF($X$4:$X$8,G312)&gt;0,G312,IF(ISBLANK(G312),IF(ISBLANK(G313),T(G312),"ERREUR"),"ERREUR"))</f>
        <v/>
      </c>
      <c r="Q312" s="38" t="str">
        <f>IF(ISNUMBER(H312),IF(INT(H312)=H312,H312,"ERREUR"),IF(ISBLANK(H312),IF(ISBLANK(H313),T(H312),"ERREUR"),"ERREUR"))</f>
        <v/>
      </c>
      <c r="R312" s="38"/>
      <c r="S312" s="38"/>
      <c r="T312" s="38"/>
      <c r="U312" s="39" t="str">
        <f>SUBSTITUTE(SUBSTITUTE(SUBSTITUTE(SUBSTITUTE(SUBSTITUTE(SUBSTITUTE(UPPER(S312),"Å","A"),"É","E"),"È","E"),"Ê","E"),"Î","I"),"Ï","I")</f>
        <v/>
      </c>
      <c r="V312" s="38"/>
      <c r="W312" s="38"/>
      <c r="X312" s="53"/>
      <c r="Y312" s="42"/>
      <c r="Z312" s="42"/>
      <c r="AA312" s="42"/>
    </row>
    <row r="313" ht="13.75" customHeight="1">
      <c r="A313" s="14" t="s">
        <v>140</v>
      </c>
      <c r="B313" s="50"/>
      <c r="C313" s="43"/>
      <c r="D313" s="43"/>
      <c r="E313" s="44"/>
      <c r="F313" s="44"/>
      <c r="G313" s="44"/>
      <c r="H313" s="45"/>
      <c r="I313" s="54"/>
      <c r="J313" s="47" t="str">
        <f>IF(OR(K313="ERREUR",L313="ERREUR",M313="ERREUR",N313="ERREUR",O313="ERREUR",P313="ERREUR",Q313="ERREUR"),"ERREUR",IF(AND(K313="",L313="",M313="",N313="",O313="",P313="",Q313=""),"ligne vide",IF(OR(K313="",L313="",M313="",N313="",O313="",P313="",Q313=""),"ligne incomplète","Valide")))</f>
        <v xml:space="preserve">ligne vide</v>
      </c>
      <c r="K313" s="48" t="str">
        <f>IF(ISBLANK(B313),IF(ISBLANK(B314),T(B313),"ERREUR"),IF(ISNUMBER(B313),_xlfn.NUMBERVALUE(B313),IF(ISTEXT(B313),VALUE(B313),"ERREUR")))</f>
        <v/>
      </c>
      <c r="L313" s="38" t="str">
        <f>IF(COUNTIF($R$4:$R$6,C313)&gt;0,C313,IF(ISBLANK(C313),IF(ISBLANK(D313),T(C313),"ERREUR"),"ERREUR"))</f>
        <v/>
      </c>
      <c r="M313" s="49" t="str">
        <f>IF(ISBLANK(D313),IF(ISBLANK(D314),T(D313),"ERREUR"),IF(COUNTIF($T$4:$T$240,SUBSTITUTE(SUBSTITUTE(SUBSTITUTE(SUBSTITUTE(SUBSTITUTE(SUBSTITUTE(UPPER(D313),"Å","A"),"É","E"),"È","E"),"Ê","E"),"Î","I"),"Ï","I"))&gt;0,D313,IF(ISBLANK(D313),T(D313),"ERREUR")))</f>
        <v/>
      </c>
      <c r="N313" s="38" t="str">
        <f>IF(COUNTIF($V$4:$V$6,E313)&gt;0,E313,IF(ISBLANK(E313),IF(ISBLANK(E314),T(E313),"ERREUR"),"ERREUR"))</f>
        <v/>
      </c>
      <c r="O313" s="38" t="str">
        <f>IF(COUNTIF($W$4:$W$5,F313)&gt;0,F313,IF(ISBLANK(F313),IF(ISBLANK(F314),T(F313),"ERREUR"),"ERREUR"))</f>
        <v/>
      </c>
      <c r="P313" s="38" t="str">
        <f>IF(COUNTIF($X$4:$X$8,G313)&gt;0,G313,IF(ISBLANK(G313),IF(ISBLANK(G314),T(G313),"ERREUR"),"ERREUR"))</f>
        <v/>
      </c>
      <c r="Q313" s="38" t="str">
        <f>IF(ISNUMBER(H313),IF(INT(H313)=H313,H313,"ERREUR"),IF(ISBLANK(H313),IF(ISBLANK(H314),T(H313),"ERREUR"),"ERREUR"))</f>
        <v/>
      </c>
      <c r="R313" s="38"/>
      <c r="S313" s="38"/>
      <c r="T313" s="38"/>
      <c r="U313" s="39" t="str">
        <f>SUBSTITUTE(SUBSTITUTE(SUBSTITUTE(SUBSTITUTE(SUBSTITUTE(SUBSTITUTE(UPPER(S313),"Å","A"),"É","E"),"È","E"),"Ê","E"),"Î","I"),"Ï","I")</f>
        <v/>
      </c>
      <c r="V313" s="38"/>
      <c r="W313" s="38"/>
      <c r="X313" s="53"/>
      <c r="Y313" s="42"/>
      <c r="Z313" s="42"/>
      <c r="AA313" s="42"/>
    </row>
    <row r="314" ht="13.75" customHeight="1">
      <c r="A314" s="14" t="s">
        <v>140</v>
      </c>
      <c r="B314" s="50"/>
      <c r="C314" s="43"/>
      <c r="D314" s="43"/>
      <c r="E314" s="44"/>
      <c r="F314" s="44"/>
      <c r="G314" s="44"/>
      <c r="H314" s="45"/>
      <c r="I314" s="54"/>
      <c r="J314" s="47" t="str">
        <f>IF(OR(K314="ERREUR",L314="ERREUR",M314="ERREUR",N314="ERREUR",O314="ERREUR",P314="ERREUR",Q314="ERREUR"),"ERREUR",IF(AND(K314="",L314="",M314="",N314="",O314="",P314="",Q314=""),"ligne vide",IF(OR(K314="",L314="",M314="",N314="",O314="",P314="",Q314=""),"ligne incomplète","Valide")))</f>
        <v xml:space="preserve">ligne vide</v>
      </c>
      <c r="K314" s="48" t="str">
        <f>IF(ISBLANK(B314),IF(ISBLANK(B315),T(B314),"ERREUR"),IF(ISNUMBER(B314),_xlfn.NUMBERVALUE(B314),IF(ISTEXT(B314),VALUE(B314),"ERREUR")))</f>
        <v/>
      </c>
      <c r="L314" s="38" t="str">
        <f>IF(COUNTIF($R$4:$R$6,C314)&gt;0,C314,IF(ISBLANK(C314),IF(ISBLANK(D314),T(C314),"ERREUR"),"ERREUR"))</f>
        <v/>
      </c>
      <c r="M314" s="49" t="str">
        <f>IF(ISBLANK(D314),IF(ISBLANK(D315),T(D314),"ERREUR"),IF(COUNTIF($T$4:$T$240,SUBSTITUTE(SUBSTITUTE(SUBSTITUTE(SUBSTITUTE(SUBSTITUTE(SUBSTITUTE(UPPER(D314),"Å","A"),"É","E"),"È","E"),"Ê","E"),"Î","I"),"Ï","I"))&gt;0,D314,IF(ISBLANK(D314),T(D314),"ERREUR")))</f>
        <v/>
      </c>
      <c r="N314" s="38" t="str">
        <f>IF(COUNTIF($V$4:$V$6,E314)&gt;0,E314,IF(ISBLANK(E314),IF(ISBLANK(E315),T(E314),"ERREUR"),"ERREUR"))</f>
        <v/>
      </c>
      <c r="O314" s="38" t="str">
        <f>IF(COUNTIF($W$4:$W$5,F314)&gt;0,F314,IF(ISBLANK(F314),IF(ISBLANK(F315),T(F314),"ERREUR"),"ERREUR"))</f>
        <v/>
      </c>
      <c r="P314" s="38" t="str">
        <f>IF(COUNTIF($X$4:$X$8,G314)&gt;0,G314,IF(ISBLANK(G314),IF(ISBLANK(G315),T(G314),"ERREUR"),"ERREUR"))</f>
        <v/>
      </c>
      <c r="Q314" s="38" t="str">
        <f>IF(ISNUMBER(H314),IF(INT(H314)=H314,H314,"ERREUR"),IF(ISBLANK(H314),IF(ISBLANK(H315),T(H314),"ERREUR"),"ERREUR"))</f>
        <v/>
      </c>
      <c r="R314" s="38"/>
      <c r="S314" s="38"/>
      <c r="T314" s="38"/>
      <c r="U314" s="39" t="str">
        <f>SUBSTITUTE(SUBSTITUTE(SUBSTITUTE(SUBSTITUTE(SUBSTITUTE(SUBSTITUTE(UPPER(S314),"Å","A"),"É","E"),"È","E"),"Ê","E"),"Î","I"),"Ï","I")</f>
        <v/>
      </c>
      <c r="V314" s="38"/>
      <c r="W314" s="38"/>
      <c r="X314" s="53"/>
      <c r="Y314" s="42"/>
      <c r="Z314" s="42"/>
      <c r="AA314" s="42"/>
    </row>
    <row r="315" ht="13.75" customHeight="1">
      <c r="A315" s="14" t="s">
        <v>140</v>
      </c>
      <c r="B315" s="50"/>
      <c r="C315" s="43"/>
      <c r="D315" s="43"/>
      <c r="E315" s="44"/>
      <c r="F315" s="44"/>
      <c r="G315" s="44"/>
      <c r="H315" s="45"/>
      <c r="I315" s="54"/>
      <c r="J315" s="47" t="str">
        <f>IF(OR(K315="ERREUR",L315="ERREUR",M315="ERREUR",N315="ERREUR",O315="ERREUR",P315="ERREUR",Q315="ERREUR"),"ERREUR",IF(AND(K315="",L315="",M315="",N315="",O315="",P315="",Q315=""),"ligne vide",IF(OR(K315="",L315="",M315="",N315="",O315="",P315="",Q315=""),"ligne incomplète","Valide")))</f>
        <v xml:space="preserve">ligne vide</v>
      </c>
      <c r="K315" s="48" t="str">
        <f>IF(ISBLANK(B315),IF(ISBLANK(B316),T(B315),"ERREUR"),IF(ISNUMBER(B315),_xlfn.NUMBERVALUE(B315),IF(ISTEXT(B315),VALUE(B315),"ERREUR")))</f>
        <v/>
      </c>
      <c r="L315" s="38" t="str">
        <f>IF(COUNTIF($R$4:$R$6,C315)&gt;0,C315,IF(ISBLANK(C315),IF(ISBLANK(D315),T(C315),"ERREUR"),"ERREUR"))</f>
        <v/>
      </c>
      <c r="M315" s="49" t="str">
        <f>IF(ISBLANK(D315),IF(ISBLANK(D316),T(D315),"ERREUR"),IF(COUNTIF($T$4:$T$240,SUBSTITUTE(SUBSTITUTE(SUBSTITUTE(SUBSTITUTE(SUBSTITUTE(SUBSTITUTE(UPPER(D315),"Å","A"),"É","E"),"È","E"),"Ê","E"),"Î","I"),"Ï","I"))&gt;0,D315,IF(ISBLANK(D315),T(D315),"ERREUR")))</f>
        <v/>
      </c>
      <c r="N315" s="38" t="str">
        <f>IF(COUNTIF($V$4:$V$6,E315)&gt;0,E315,IF(ISBLANK(E315),IF(ISBLANK(E316),T(E315),"ERREUR"),"ERREUR"))</f>
        <v/>
      </c>
      <c r="O315" s="38" t="str">
        <f>IF(COUNTIF($W$4:$W$5,F315)&gt;0,F315,IF(ISBLANK(F315),IF(ISBLANK(F316),T(F315),"ERREUR"),"ERREUR"))</f>
        <v/>
      </c>
      <c r="P315" s="38" t="str">
        <f>IF(COUNTIF($X$4:$X$8,G315)&gt;0,G315,IF(ISBLANK(G315),IF(ISBLANK(G316),T(G315),"ERREUR"),"ERREUR"))</f>
        <v/>
      </c>
      <c r="Q315" s="38" t="str">
        <f>IF(ISNUMBER(H315),IF(INT(H315)=H315,H315,"ERREUR"),IF(ISBLANK(H315),IF(ISBLANK(H316),T(H315),"ERREUR"),"ERREUR"))</f>
        <v/>
      </c>
      <c r="R315" s="38"/>
      <c r="S315" s="38"/>
      <c r="T315" s="38"/>
      <c r="U315" s="39" t="str">
        <f>SUBSTITUTE(SUBSTITUTE(SUBSTITUTE(SUBSTITUTE(SUBSTITUTE(SUBSTITUTE(UPPER(S315),"Å","A"),"É","E"),"È","E"),"Ê","E"),"Î","I"),"Ï","I")</f>
        <v/>
      </c>
      <c r="V315" s="38"/>
      <c r="W315" s="38"/>
      <c r="X315" s="53"/>
      <c r="Y315" s="42"/>
      <c r="Z315" s="42"/>
      <c r="AA315" s="42"/>
    </row>
    <row r="316" ht="13.75" customHeight="1">
      <c r="A316" s="14" t="s">
        <v>140</v>
      </c>
      <c r="B316" s="50"/>
      <c r="C316" s="43"/>
      <c r="D316" s="43"/>
      <c r="E316" s="44"/>
      <c r="F316" s="44"/>
      <c r="G316" s="44"/>
      <c r="H316" s="45"/>
      <c r="I316" s="54"/>
      <c r="J316" s="47" t="str">
        <f>IF(OR(K316="ERREUR",L316="ERREUR",M316="ERREUR",N316="ERREUR",O316="ERREUR",P316="ERREUR",Q316="ERREUR"),"ERREUR",IF(AND(K316="",L316="",M316="",N316="",O316="",P316="",Q316=""),"ligne vide",IF(OR(K316="",L316="",M316="",N316="",O316="",P316="",Q316=""),"ligne incomplète","Valide")))</f>
        <v xml:space="preserve">ligne vide</v>
      </c>
      <c r="K316" s="48" t="str">
        <f>IF(ISBLANK(B316),IF(ISBLANK(B317),T(B316),"ERREUR"),IF(ISNUMBER(B316),_xlfn.NUMBERVALUE(B316),IF(ISTEXT(B316),VALUE(B316),"ERREUR")))</f>
        <v/>
      </c>
      <c r="L316" s="38" t="str">
        <f>IF(COUNTIF($R$4:$R$6,C316)&gt;0,C316,IF(ISBLANK(C316),IF(ISBLANK(D316),T(C316),"ERREUR"),"ERREUR"))</f>
        <v/>
      </c>
      <c r="M316" s="49" t="str">
        <f>IF(ISBLANK(D316),IF(ISBLANK(D317),T(D316),"ERREUR"),IF(COUNTIF($T$4:$T$240,SUBSTITUTE(SUBSTITUTE(SUBSTITUTE(SUBSTITUTE(SUBSTITUTE(SUBSTITUTE(UPPER(D316),"Å","A"),"É","E"),"È","E"),"Ê","E"),"Î","I"),"Ï","I"))&gt;0,D316,IF(ISBLANK(D316),T(D316),"ERREUR")))</f>
        <v/>
      </c>
      <c r="N316" s="38" t="str">
        <f>IF(COUNTIF($V$4:$V$6,E316)&gt;0,E316,IF(ISBLANK(E316),IF(ISBLANK(E317),T(E316),"ERREUR"),"ERREUR"))</f>
        <v/>
      </c>
      <c r="O316" s="38" t="str">
        <f>IF(COUNTIF($W$4:$W$5,F316)&gt;0,F316,IF(ISBLANK(F316),IF(ISBLANK(F317),T(F316),"ERREUR"),"ERREUR"))</f>
        <v/>
      </c>
      <c r="P316" s="38" t="str">
        <f>IF(COUNTIF($X$4:$X$8,G316)&gt;0,G316,IF(ISBLANK(G316),IF(ISBLANK(G317),T(G316),"ERREUR"),"ERREUR"))</f>
        <v/>
      </c>
      <c r="Q316" s="38" t="str">
        <f>IF(ISNUMBER(H316),IF(INT(H316)=H316,H316,"ERREUR"),IF(ISBLANK(H316),IF(ISBLANK(H317),T(H316),"ERREUR"),"ERREUR"))</f>
        <v/>
      </c>
      <c r="R316" s="38"/>
      <c r="S316" s="38"/>
      <c r="T316" s="38"/>
      <c r="U316" s="38"/>
      <c r="V316" s="38"/>
      <c r="W316" s="38"/>
      <c r="X316" s="53"/>
      <c r="Y316" s="42"/>
      <c r="Z316" s="42"/>
      <c r="AA316" s="42"/>
    </row>
    <row r="317" ht="13.75" customHeight="1">
      <c r="A317" s="14" t="s">
        <v>140</v>
      </c>
      <c r="B317" s="50"/>
      <c r="C317" s="43"/>
      <c r="D317" s="43"/>
      <c r="E317" s="44"/>
      <c r="F317" s="44"/>
      <c r="G317" s="44"/>
      <c r="H317" s="45"/>
      <c r="I317" s="54"/>
      <c r="J317" s="47" t="str">
        <f>IF(OR(K317="ERREUR",L317="ERREUR",M317="ERREUR",N317="ERREUR",O317="ERREUR",P317="ERREUR",Q317="ERREUR"),"ERREUR",IF(AND(K317="",L317="",M317="",N317="",O317="",P317="",Q317=""),"ligne vide",IF(OR(K317="",L317="",M317="",N317="",O317="",P317="",Q317=""),"ligne incomplète","Valide")))</f>
        <v xml:space="preserve">ligne vide</v>
      </c>
      <c r="K317" s="48" t="str">
        <f>IF(ISBLANK(B317),IF(ISBLANK(B318),T(B317),"ERREUR"),IF(ISNUMBER(B317),_xlfn.NUMBERVALUE(B317),IF(ISTEXT(B317),VALUE(B317),"ERREUR")))</f>
        <v/>
      </c>
      <c r="L317" s="38" t="str">
        <f>IF(COUNTIF($R$4:$R$6,C317)&gt;0,C317,IF(ISBLANK(C317),IF(ISBLANK(D317),T(C317),"ERREUR"),"ERREUR"))</f>
        <v/>
      </c>
      <c r="M317" s="49" t="str">
        <f>IF(ISBLANK(D317),IF(ISBLANK(D318),T(D317),"ERREUR"),IF(COUNTIF($T$4:$T$240,SUBSTITUTE(SUBSTITUTE(SUBSTITUTE(SUBSTITUTE(SUBSTITUTE(SUBSTITUTE(UPPER(D317),"Å","A"),"É","E"),"È","E"),"Ê","E"),"Î","I"),"Ï","I"))&gt;0,D317,IF(ISBLANK(D317),T(D317),"ERREUR")))</f>
        <v/>
      </c>
      <c r="N317" s="38" t="str">
        <f>IF(COUNTIF($V$4:$V$6,E317)&gt;0,E317,IF(ISBLANK(E317),IF(ISBLANK(E318),T(E317),"ERREUR"),"ERREUR"))</f>
        <v/>
      </c>
      <c r="O317" s="38" t="str">
        <f>IF(COUNTIF($W$4:$W$5,F317)&gt;0,F317,IF(ISBLANK(F317),IF(ISBLANK(F318),T(F317),"ERREUR"),"ERREUR"))</f>
        <v/>
      </c>
      <c r="P317" s="38" t="str">
        <f>IF(COUNTIF($X$4:$X$8,G317)&gt;0,G317,IF(ISBLANK(G317),IF(ISBLANK(G318),T(G317),"ERREUR"),"ERREUR"))</f>
        <v/>
      </c>
      <c r="Q317" s="38" t="str">
        <f>IF(ISNUMBER(H317),IF(INT(H317)=H317,H317,"ERREUR"),IF(ISBLANK(H317),IF(ISBLANK(H318),T(H317),"ERREUR"),"ERREUR"))</f>
        <v/>
      </c>
      <c r="R317" s="38"/>
      <c r="S317" s="38"/>
      <c r="T317" s="38"/>
      <c r="U317" s="38"/>
      <c r="V317" s="38"/>
      <c r="W317" s="38"/>
      <c r="X317" s="53"/>
      <c r="Y317" s="42"/>
      <c r="Z317" s="42"/>
      <c r="AA317" s="42"/>
    </row>
    <row r="318" ht="13.75" customHeight="1">
      <c r="A318" s="14" t="s">
        <v>140</v>
      </c>
      <c r="B318" s="50"/>
      <c r="C318" s="43"/>
      <c r="D318" s="43"/>
      <c r="E318" s="44"/>
      <c r="F318" s="44"/>
      <c r="G318" s="44"/>
      <c r="H318" s="45"/>
      <c r="I318" s="54"/>
      <c r="J318" s="47" t="str">
        <f>IF(OR(K318="ERREUR",L318="ERREUR",M318="ERREUR",N318="ERREUR",O318="ERREUR",P318="ERREUR",Q318="ERREUR"),"ERREUR",IF(AND(K318="",L318="",M318="",N318="",O318="",P318="",Q318=""),"ligne vide",IF(OR(K318="",L318="",M318="",N318="",O318="",P318="",Q318=""),"ligne incomplète","Valide")))</f>
        <v xml:space="preserve">ligne vide</v>
      </c>
      <c r="K318" s="48" t="str">
        <f>IF(ISBLANK(B318),IF(ISBLANK(B319),T(B318),"ERREUR"),IF(ISNUMBER(B318),_xlfn.NUMBERVALUE(B318),IF(ISTEXT(B318),VALUE(B318),"ERREUR")))</f>
        <v/>
      </c>
      <c r="L318" s="38" t="str">
        <f>IF(COUNTIF($R$4:$R$6,C318)&gt;0,C318,IF(ISBLANK(C318),IF(ISBLANK(D318),T(C318),"ERREUR"),"ERREUR"))</f>
        <v/>
      </c>
      <c r="M318" s="49" t="str">
        <f>IF(ISBLANK(D318),IF(ISBLANK(D319),T(D318),"ERREUR"),IF(COUNTIF($T$4:$T$240,SUBSTITUTE(SUBSTITUTE(SUBSTITUTE(SUBSTITUTE(SUBSTITUTE(SUBSTITUTE(UPPER(D318),"Å","A"),"É","E"),"È","E"),"Ê","E"),"Î","I"),"Ï","I"))&gt;0,D318,IF(ISBLANK(D318),T(D318),"ERREUR")))</f>
        <v/>
      </c>
      <c r="N318" s="38" t="str">
        <f>IF(COUNTIF($V$4:$V$6,E318)&gt;0,E318,IF(ISBLANK(E318),IF(ISBLANK(E319),T(E318),"ERREUR"),"ERREUR"))</f>
        <v/>
      </c>
      <c r="O318" s="38" t="str">
        <f>IF(COUNTIF($W$4:$W$5,F318)&gt;0,F318,IF(ISBLANK(F318),IF(ISBLANK(F319),T(F318),"ERREUR"),"ERREUR"))</f>
        <v/>
      </c>
      <c r="P318" s="38" t="str">
        <f>IF(COUNTIF($X$4:$X$8,G318)&gt;0,G318,IF(ISBLANK(G318),IF(ISBLANK(G319),T(G318),"ERREUR"),"ERREUR"))</f>
        <v/>
      </c>
      <c r="Q318" s="38" t="str">
        <f>IF(ISNUMBER(H318),IF(INT(H318)=H318,H318,"ERREUR"),IF(ISBLANK(H318),IF(ISBLANK(H319),T(H318),"ERREUR"),"ERREUR"))</f>
        <v/>
      </c>
      <c r="R318" s="38"/>
      <c r="S318" s="38"/>
      <c r="T318" s="38"/>
      <c r="U318" s="38"/>
      <c r="V318" s="38"/>
      <c r="W318" s="38"/>
      <c r="X318" s="53"/>
      <c r="Y318" s="42"/>
      <c r="Z318" s="42"/>
      <c r="AA318" s="42"/>
    </row>
    <row r="319" ht="13.75" customHeight="1">
      <c r="A319" s="14" t="s">
        <v>140</v>
      </c>
      <c r="B319" s="50"/>
      <c r="C319" s="43"/>
      <c r="D319" s="43"/>
      <c r="E319" s="44"/>
      <c r="F319" s="44"/>
      <c r="G319" s="44"/>
      <c r="H319" s="45"/>
      <c r="I319" s="54"/>
      <c r="J319" s="47" t="str">
        <f>IF(OR(K319="ERREUR",L319="ERREUR",M319="ERREUR",N319="ERREUR",O319="ERREUR",P319="ERREUR",Q319="ERREUR"),"ERREUR",IF(AND(K319="",L319="",M319="",N319="",O319="",P319="",Q319=""),"ligne vide",IF(OR(K319="",L319="",M319="",N319="",O319="",P319="",Q319=""),"ligne incomplète","Valide")))</f>
        <v xml:space="preserve">ligne vide</v>
      </c>
      <c r="K319" s="48" t="str">
        <f>IF(ISBLANK(B319),IF(ISBLANK(B320),T(B319),"ERREUR"),IF(ISNUMBER(B319),_xlfn.NUMBERVALUE(B319),IF(ISTEXT(B319),VALUE(B319),"ERREUR")))</f>
        <v/>
      </c>
      <c r="L319" s="38" t="str">
        <f>IF(COUNTIF($R$4:$R$6,C319)&gt;0,C319,IF(ISBLANK(C319),IF(ISBLANK(D319),T(C319),"ERREUR"),"ERREUR"))</f>
        <v/>
      </c>
      <c r="M319" s="49" t="str">
        <f>IF(ISBLANK(D319),IF(ISBLANK(D320),T(D319),"ERREUR"),IF(COUNTIF($T$4:$T$240,SUBSTITUTE(SUBSTITUTE(SUBSTITUTE(SUBSTITUTE(SUBSTITUTE(SUBSTITUTE(UPPER(D319),"Å","A"),"É","E"),"È","E"),"Ê","E"),"Î","I"),"Ï","I"))&gt;0,D319,IF(ISBLANK(D319),T(D319),"ERREUR")))</f>
        <v/>
      </c>
      <c r="N319" s="38" t="str">
        <f>IF(COUNTIF($V$4:$V$6,E319)&gt;0,E319,IF(ISBLANK(E319),IF(ISBLANK(E320),T(E319),"ERREUR"),"ERREUR"))</f>
        <v/>
      </c>
      <c r="O319" s="38" t="str">
        <f>IF(COUNTIF($W$4:$W$5,F319)&gt;0,F319,IF(ISBLANK(F319),IF(ISBLANK(F320),T(F319),"ERREUR"),"ERREUR"))</f>
        <v/>
      </c>
      <c r="P319" s="38" t="str">
        <f>IF(COUNTIF($X$4:$X$8,G319)&gt;0,G319,IF(ISBLANK(G319),IF(ISBLANK(G320),T(G319),"ERREUR"),"ERREUR"))</f>
        <v/>
      </c>
      <c r="Q319" s="38" t="str">
        <f>IF(ISNUMBER(H319),IF(INT(H319)=H319,H319,"ERREUR"),IF(ISBLANK(H319),IF(ISBLANK(H320),T(H319),"ERREUR"),"ERREUR"))</f>
        <v/>
      </c>
      <c r="R319" s="38"/>
      <c r="S319" s="38"/>
      <c r="T319" s="38"/>
      <c r="U319" s="38"/>
      <c r="V319" s="38"/>
      <c r="W319" s="38"/>
      <c r="X319" s="53"/>
      <c r="Y319" s="42"/>
      <c r="Z319" s="42"/>
      <c r="AA319" s="42"/>
    </row>
    <row r="320" ht="13.75" customHeight="1">
      <c r="A320" s="14" t="s">
        <v>140</v>
      </c>
      <c r="B320" s="50"/>
      <c r="C320" s="43"/>
      <c r="D320" s="43"/>
      <c r="E320" s="44"/>
      <c r="F320" s="44"/>
      <c r="G320" s="44"/>
      <c r="H320" s="45"/>
      <c r="I320" s="54"/>
      <c r="J320" s="47" t="str">
        <f>IF(OR(K320="ERREUR",L320="ERREUR",M320="ERREUR",N320="ERREUR",O320="ERREUR",P320="ERREUR",Q320="ERREUR"),"ERREUR",IF(AND(K320="",L320="",M320="",N320="",O320="",P320="",Q320=""),"ligne vide",IF(OR(K320="",L320="",M320="",N320="",O320="",P320="",Q320=""),"ligne incomplète","Valide")))</f>
        <v xml:space="preserve">ligne vide</v>
      </c>
      <c r="K320" s="48" t="str">
        <f>IF(ISBLANK(B320),IF(ISBLANK(B321),T(B320),"ERREUR"),IF(ISNUMBER(B320),_xlfn.NUMBERVALUE(B320),IF(ISTEXT(B320),VALUE(B320),"ERREUR")))</f>
        <v/>
      </c>
      <c r="L320" s="38" t="str">
        <f>IF(COUNTIF($R$4:$R$6,C320)&gt;0,C320,IF(ISBLANK(C320),IF(ISBLANK(D320),T(C320),"ERREUR"),"ERREUR"))</f>
        <v/>
      </c>
      <c r="M320" s="49" t="str">
        <f>IF(ISBLANK(D320),IF(ISBLANK(D321),T(D320),"ERREUR"),IF(COUNTIF($T$4:$T$240,SUBSTITUTE(SUBSTITUTE(SUBSTITUTE(SUBSTITUTE(SUBSTITUTE(SUBSTITUTE(UPPER(D320),"Å","A"),"É","E"),"È","E"),"Ê","E"),"Î","I"),"Ï","I"))&gt;0,D320,IF(ISBLANK(D320),T(D320),"ERREUR")))</f>
        <v/>
      </c>
      <c r="N320" s="38" t="str">
        <f>IF(COUNTIF($V$4:$V$6,E320)&gt;0,E320,IF(ISBLANK(E320),IF(ISBLANK(E321),T(E320),"ERREUR"),"ERREUR"))</f>
        <v/>
      </c>
      <c r="O320" s="38" t="str">
        <f>IF(COUNTIF($W$4:$W$5,F320)&gt;0,F320,IF(ISBLANK(F320),IF(ISBLANK(F321),T(F320),"ERREUR"),"ERREUR"))</f>
        <v/>
      </c>
      <c r="P320" s="38" t="str">
        <f>IF(COUNTIF($X$4:$X$8,G320)&gt;0,G320,IF(ISBLANK(G320),IF(ISBLANK(G321),T(G320),"ERREUR"),"ERREUR"))</f>
        <v/>
      </c>
      <c r="Q320" s="38" t="str">
        <f>IF(ISNUMBER(H320),IF(INT(H320)=H320,H320,"ERREUR"),IF(ISBLANK(H320),IF(ISBLANK(H321),T(H320),"ERREUR"),"ERREUR"))</f>
        <v/>
      </c>
      <c r="R320" s="38"/>
      <c r="S320" s="38"/>
      <c r="T320" s="38"/>
      <c r="U320" s="38"/>
      <c r="V320" s="38"/>
      <c r="W320" s="38"/>
      <c r="X320" s="53"/>
      <c r="Y320" s="42"/>
      <c r="Z320" s="42"/>
      <c r="AA320" s="42"/>
    </row>
    <row r="321" ht="13.75" customHeight="1">
      <c r="A321" s="14" t="s">
        <v>140</v>
      </c>
      <c r="B321" s="50"/>
      <c r="C321" s="43"/>
      <c r="D321" s="43"/>
      <c r="E321" s="44"/>
      <c r="F321" s="44"/>
      <c r="G321" s="44"/>
      <c r="H321" s="45"/>
      <c r="I321" s="54"/>
      <c r="J321" s="47" t="str">
        <f>IF(OR(K321="ERREUR",L321="ERREUR",M321="ERREUR",N321="ERREUR",O321="ERREUR",P321="ERREUR",Q321="ERREUR"),"ERREUR",IF(AND(K321="",L321="",M321="",N321="",O321="",P321="",Q321=""),"ligne vide",IF(OR(K321="",L321="",M321="",N321="",O321="",P321="",Q321=""),"ligne incomplète","Valide")))</f>
        <v xml:space="preserve">ligne vide</v>
      </c>
      <c r="K321" s="48" t="str">
        <f>IF(ISBLANK(B321),IF(ISBLANK(B322),T(B321),"ERREUR"),IF(ISNUMBER(B321),_xlfn.NUMBERVALUE(B321),IF(ISTEXT(B321),VALUE(B321),"ERREUR")))</f>
        <v/>
      </c>
      <c r="L321" s="38" t="str">
        <f>IF(COUNTIF($R$4:$R$6,C321)&gt;0,C321,IF(ISBLANK(C321),IF(ISBLANK(D321),T(C321),"ERREUR"),"ERREUR"))</f>
        <v/>
      </c>
      <c r="M321" s="49" t="str">
        <f>IF(ISBLANK(D321),IF(ISBLANK(D322),T(D321),"ERREUR"),IF(COUNTIF($T$4:$T$240,SUBSTITUTE(SUBSTITUTE(SUBSTITUTE(SUBSTITUTE(SUBSTITUTE(SUBSTITUTE(UPPER(D321),"Å","A"),"É","E"),"È","E"),"Ê","E"),"Î","I"),"Ï","I"))&gt;0,D321,IF(ISBLANK(D321),T(D321),"ERREUR")))</f>
        <v/>
      </c>
      <c r="N321" s="38" t="str">
        <f>IF(COUNTIF($V$4:$V$6,E321)&gt;0,E321,IF(ISBLANK(E321),IF(ISBLANK(E322),T(E321),"ERREUR"),"ERREUR"))</f>
        <v/>
      </c>
      <c r="O321" s="38" t="str">
        <f>IF(COUNTIF($W$4:$W$5,F321)&gt;0,F321,IF(ISBLANK(F321),IF(ISBLANK(F322),T(F321),"ERREUR"),"ERREUR"))</f>
        <v/>
      </c>
      <c r="P321" s="38" t="str">
        <f>IF(COUNTIF($X$4:$X$8,G321)&gt;0,G321,IF(ISBLANK(G321),IF(ISBLANK(G322),T(G321),"ERREUR"),"ERREUR"))</f>
        <v/>
      </c>
      <c r="Q321" s="38" t="str">
        <f>IF(ISNUMBER(H321),IF(INT(H321)=H321,H321,"ERREUR"),IF(ISBLANK(H321),IF(ISBLANK(H322),T(H321),"ERREUR"),"ERREUR"))</f>
        <v/>
      </c>
      <c r="R321" s="38"/>
      <c r="S321" s="38"/>
      <c r="T321" s="38"/>
      <c r="U321" s="38"/>
      <c r="V321" s="38"/>
      <c r="W321" s="38"/>
      <c r="X321" s="53"/>
      <c r="Y321" s="42"/>
      <c r="Z321" s="42"/>
      <c r="AA321" s="42"/>
    </row>
    <row r="322" ht="13.75" customHeight="1">
      <c r="A322" s="14" t="s">
        <v>140</v>
      </c>
      <c r="B322" s="50"/>
      <c r="C322" s="43"/>
      <c r="D322" s="43"/>
      <c r="E322" s="44"/>
      <c r="F322" s="44"/>
      <c r="G322" s="44"/>
      <c r="H322" s="45"/>
      <c r="I322" s="54"/>
      <c r="J322" s="47" t="str">
        <f>IF(OR(K322="ERREUR",L322="ERREUR",M322="ERREUR",N322="ERREUR",O322="ERREUR",P322="ERREUR",Q322="ERREUR"),"ERREUR",IF(AND(K322="",L322="",M322="",N322="",O322="",P322="",Q322=""),"ligne vide",IF(OR(K322="",L322="",M322="",N322="",O322="",P322="",Q322=""),"ligne incomplète","Valide")))</f>
        <v xml:space="preserve">ligne vide</v>
      </c>
      <c r="K322" s="48" t="str">
        <f>IF(ISBLANK(B322),IF(ISBLANK(B323),T(B322),"ERREUR"),IF(ISNUMBER(B322),_xlfn.NUMBERVALUE(B322),IF(ISTEXT(B322),VALUE(B322),"ERREUR")))</f>
        <v/>
      </c>
      <c r="L322" s="38" t="str">
        <f>IF(COUNTIF($R$4:$R$6,C322)&gt;0,C322,IF(ISBLANK(C322),IF(ISBLANK(D322),T(C322),"ERREUR"),"ERREUR"))</f>
        <v/>
      </c>
      <c r="M322" s="49" t="str">
        <f>IF(ISBLANK(D322),IF(ISBLANK(D323),T(D322),"ERREUR"),IF(COUNTIF($T$4:$T$240,SUBSTITUTE(SUBSTITUTE(SUBSTITUTE(SUBSTITUTE(SUBSTITUTE(SUBSTITUTE(UPPER(D322),"Å","A"),"É","E"),"È","E"),"Ê","E"),"Î","I"),"Ï","I"))&gt;0,D322,IF(ISBLANK(D322),T(D322),"ERREUR")))</f>
        <v/>
      </c>
      <c r="N322" s="38" t="str">
        <f>IF(COUNTIF($V$4:$V$6,E322)&gt;0,E322,IF(ISBLANK(E322),IF(ISBLANK(E323),T(E322),"ERREUR"),"ERREUR"))</f>
        <v/>
      </c>
      <c r="O322" s="38" t="str">
        <f>IF(COUNTIF($W$4:$W$5,F322)&gt;0,F322,IF(ISBLANK(F322),IF(ISBLANK(F323),T(F322),"ERREUR"),"ERREUR"))</f>
        <v/>
      </c>
      <c r="P322" s="38" t="str">
        <f>IF(COUNTIF($X$4:$X$8,G322)&gt;0,G322,IF(ISBLANK(G322),IF(ISBLANK(G323),T(G322),"ERREUR"),"ERREUR"))</f>
        <v/>
      </c>
      <c r="Q322" s="38" t="str">
        <f>IF(ISNUMBER(H322),IF(INT(H322)=H322,H322,"ERREUR"),IF(ISBLANK(H322),IF(ISBLANK(H323),T(H322),"ERREUR"),"ERREUR"))</f>
        <v/>
      </c>
      <c r="R322" s="38"/>
      <c r="S322" s="38"/>
      <c r="T322" s="38"/>
      <c r="U322" s="38"/>
      <c r="V322" s="38"/>
      <c r="W322" s="38"/>
      <c r="X322" s="53"/>
      <c r="Y322" s="42"/>
      <c r="Z322" s="42"/>
      <c r="AA322" s="42"/>
    </row>
    <row r="323" ht="13.75" customHeight="1">
      <c r="A323" s="14" t="s">
        <v>140</v>
      </c>
      <c r="B323" s="50"/>
      <c r="C323" s="43"/>
      <c r="D323" s="43"/>
      <c r="E323" s="44"/>
      <c r="F323" s="44"/>
      <c r="G323" s="44"/>
      <c r="H323" s="45"/>
      <c r="I323" s="54"/>
      <c r="J323" s="47" t="str">
        <f>IF(OR(K323="ERREUR",L323="ERREUR",M323="ERREUR",N323="ERREUR",O323="ERREUR",P323="ERREUR",Q323="ERREUR"),"ERREUR",IF(AND(K323="",L323="",M323="",N323="",O323="",P323="",Q323=""),"ligne vide",IF(OR(K323="",L323="",M323="",N323="",O323="",P323="",Q323=""),"ligne incomplète","Valide")))</f>
        <v xml:space="preserve">ligne vide</v>
      </c>
      <c r="K323" s="48" t="str">
        <f>IF(ISBLANK(B323),IF(ISBLANK(B324),T(B323),"ERREUR"),IF(ISNUMBER(B323),_xlfn.NUMBERVALUE(B323),IF(ISTEXT(B323),VALUE(B323),"ERREUR")))</f>
        <v/>
      </c>
      <c r="L323" s="38" t="str">
        <f>IF(COUNTIF($R$4:$R$6,C323)&gt;0,C323,IF(ISBLANK(C323),IF(ISBLANK(D323),T(C323),"ERREUR"),"ERREUR"))</f>
        <v/>
      </c>
      <c r="M323" s="49" t="str">
        <f>IF(ISBLANK(D323),IF(ISBLANK(D324),T(D323),"ERREUR"),IF(COUNTIF($T$4:$T$240,SUBSTITUTE(SUBSTITUTE(SUBSTITUTE(SUBSTITUTE(SUBSTITUTE(SUBSTITUTE(UPPER(D323),"Å","A"),"É","E"),"È","E"),"Ê","E"),"Î","I"),"Ï","I"))&gt;0,D323,IF(ISBLANK(D323),T(D323),"ERREUR")))</f>
        <v/>
      </c>
      <c r="N323" s="38" t="str">
        <f>IF(COUNTIF($V$4:$V$6,E323)&gt;0,E323,IF(ISBLANK(E323),IF(ISBLANK(E324),T(E323),"ERREUR"),"ERREUR"))</f>
        <v/>
      </c>
      <c r="O323" s="38" t="str">
        <f>IF(COUNTIF($W$4:$W$5,F323)&gt;0,F323,IF(ISBLANK(F323),IF(ISBLANK(F324),T(F323),"ERREUR"),"ERREUR"))</f>
        <v/>
      </c>
      <c r="P323" s="38" t="str">
        <f>IF(COUNTIF($X$4:$X$8,G323)&gt;0,G323,IF(ISBLANK(G323),IF(ISBLANK(G324),T(G323),"ERREUR"),"ERREUR"))</f>
        <v/>
      </c>
      <c r="Q323" s="38" t="str">
        <f>IF(ISNUMBER(H323),IF(INT(H323)=H323,H323,"ERREUR"),IF(ISBLANK(H323),IF(ISBLANK(H324),T(H323),"ERREUR"),"ERREUR"))</f>
        <v/>
      </c>
      <c r="R323" s="38"/>
      <c r="S323" s="38"/>
      <c r="T323" s="38"/>
      <c r="U323" s="38"/>
      <c r="V323" s="38"/>
      <c r="W323" s="38"/>
      <c r="X323" s="53"/>
      <c r="Y323" s="42"/>
      <c r="Z323" s="42"/>
      <c r="AA323" s="42"/>
    </row>
    <row r="324" ht="13.75" customHeight="1">
      <c r="A324" s="14" t="s">
        <v>140</v>
      </c>
      <c r="B324" s="50"/>
      <c r="C324" s="43"/>
      <c r="D324" s="43"/>
      <c r="E324" s="44"/>
      <c r="F324" s="44"/>
      <c r="G324" s="44"/>
      <c r="H324" s="45"/>
      <c r="I324" s="54"/>
      <c r="J324" s="47" t="str">
        <f>IF(OR(K324="ERREUR",L324="ERREUR",M324="ERREUR",N324="ERREUR",O324="ERREUR",P324="ERREUR",Q324="ERREUR"),"ERREUR",IF(AND(K324="",L324="",M324="",N324="",O324="",P324="",Q324=""),"ligne vide",IF(OR(K324="",L324="",M324="",N324="",O324="",P324="",Q324=""),"ligne incomplète","Valide")))</f>
        <v xml:space="preserve">ligne vide</v>
      </c>
      <c r="K324" s="48" t="str">
        <f>IF(ISBLANK(B324),IF(ISBLANK(B325),T(B324),"ERREUR"),IF(ISNUMBER(B324),_xlfn.NUMBERVALUE(B324),IF(ISTEXT(B324),VALUE(B324),"ERREUR")))</f>
        <v/>
      </c>
      <c r="L324" s="38" t="str">
        <f>IF(COUNTIF($R$4:$R$6,C324)&gt;0,C324,IF(ISBLANK(C324),IF(ISBLANK(D324),T(C324),"ERREUR"),"ERREUR"))</f>
        <v/>
      </c>
      <c r="M324" s="49" t="str">
        <f>IF(ISBLANK(D324),IF(ISBLANK(D325),T(D324),"ERREUR"),IF(COUNTIF($T$4:$T$240,SUBSTITUTE(SUBSTITUTE(SUBSTITUTE(SUBSTITUTE(SUBSTITUTE(SUBSTITUTE(UPPER(D324),"Å","A"),"É","E"),"È","E"),"Ê","E"),"Î","I"),"Ï","I"))&gt;0,D324,IF(ISBLANK(D324),T(D324),"ERREUR")))</f>
        <v/>
      </c>
      <c r="N324" s="38" t="str">
        <f>IF(COUNTIF($V$4:$V$6,E324)&gt;0,E324,IF(ISBLANK(E324),IF(ISBLANK(E325),T(E324),"ERREUR"),"ERREUR"))</f>
        <v/>
      </c>
      <c r="O324" s="38" t="str">
        <f>IF(COUNTIF($W$4:$W$5,F324)&gt;0,F324,IF(ISBLANK(F324),IF(ISBLANK(F325),T(F324),"ERREUR"),"ERREUR"))</f>
        <v/>
      </c>
      <c r="P324" s="38" t="str">
        <f>IF(COUNTIF($X$4:$X$8,G324)&gt;0,G324,IF(ISBLANK(G324),IF(ISBLANK(G325),T(G324),"ERREUR"),"ERREUR"))</f>
        <v/>
      </c>
      <c r="Q324" s="38" t="str">
        <f>IF(ISNUMBER(H324),IF(INT(H324)=H324,H324,"ERREUR"),IF(ISBLANK(H324),IF(ISBLANK(H325),T(H324),"ERREUR"),"ERREUR"))</f>
        <v/>
      </c>
      <c r="R324" s="38"/>
      <c r="S324" s="38"/>
      <c r="T324" s="38"/>
      <c r="U324" s="38"/>
      <c r="V324" s="38"/>
      <c r="W324" s="38"/>
      <c r="X324" s="53"/>
      <c r="Y324" s="42"/>
      <c r="Z324" s="42"/>
      <c r="AA324" s="42"/>
    </row>
    <row r="325" ht="13.75" customHeight="1">
      <c r="A325" s="14" t="s">
        <v>140</v>
      </c>
      <c r="B325" s="50"/>
      <c r="C325" s="43"/>
      <c r="D325" s="43"/>
      <c r="E325" s="44"/>
      <c r="F325" s="44"/>
      <c r="G325" s="44"/>
      <c r="H325" s="45"/>
      <c r="I325" s="54"/>
      <c r="J325" s="47" t="str">
        <f>IF(OR(K325="ERREUR",L325="ERREUR",M325="ERREUR",N325="ERREUR",O325="ERREUR",P325="ERREUR",Q325="ERREUR"),"ERREUR",IF(AND(K325="",L325="",M325="",N325="",O325="",P325="",Q325=""),"ligne vide",IF(OR(K325="",L325="",M325="",N325="",O325="",P325="",Q325=""),"ligne incomplète","Valide")))</f>
        <v xml:space="preserve">ligne vide</v>
      </c>
      <c r="K325" s="48" t="str">
        <f>IF(ISBLANK(B325),IF(ISBLANK(B326),T(B325),"ERREUR"),IF(ISNUMBER(B325),_xlfn.NUMBERVALUE(B325),IF(ISTEXT(B325),VALUE(B325),"ERREUR")))</f>
        <v/>
      </c>
      <c r="L325" s="38" t="str">
        <f>IF(COUNTIF($R$4:$R$6,C325)&gt;0,C325,IF(ISBLANK(C325),IF(ISBLANK(D325),T(C325),"ERREUR"),"ERREUR"))</f>
        <v/>
      </c>
      <c r="M325" s="49" t="str">
        <f>IF(ISBLANK(D325),IF(ISBLANK(D326),T(D325),"ERREUR"),IF(COUNTIF($T$4:$T$240,SUBSTITUTE(SUBSTITUTE(SUBSTITUTE(SUBSTITUTE(SUBSTITUTE(SUBSTITUTE(UPPER(D325),"Å","A"),"É","E"),"È","E"),"Ê","E"),"Î","I"),"Ï","I"))&gt;0,D325,IF(ISBLANK(D325),T(D325),"ERREUR")))</f>
        <v/>
      </c>
      <c r="N325" s="38" t="str">
        <f>IF(COUNTIF($V$4:$V$6,E325)&gt;0,E325,IF(ISBLANK(E325),IF(ISBLANK(E326),T(E325),"ERREUR"),"ERREUR"))</f>
        <v/>
      </c>
      <c r="O325" s="38" t="str">
        <f>IF(COUNTIF($W$4:$W$5,F325)&gt;0,F325,IF(ISBLANK(F325),IF(ISBLANK(F326),T(F325),"ERREUR"),"ERREUR"))</f>
        <v/>
      </c>
      <c r="P325" s="38" t="str">
        <f>IF(COUNTIF($X$4:$X$8,G325)&gt;0,G325,IF(ISBLANK(G325),IF(ISBLANK(G326),T(G325),"ERREUR"),"ERREUR"))</f>
        <v/>
      </c>
      <c r="Q325" s="38" t="str">
        <f>IF(ISNUMBER(H325),IF(INT(H325)=H325,H325,"ERREUR"),IF(ISBLANK(H325),IF(ISBLANK(H326),T(H325),"ERREUR"),"ERREUR"))</f>
        <v/>
      </c>
      <c r="R325" s="38"/>
      <c r="S325" s="38"/>
      <c r="T325" s="38"/>
      <c r="U325" s="38"/>
      <c r="V325" s="38"/>
      <c r="W325" s="38"/>
      <c r="X325" s="53"/>
      <c r="Y325" s="42"/>
      <c r="Z325" s="42"/>
      <c r="AA325" s="42"/>
    </row>
    <row r="326" ht="13.75" customHeight="1">
      <c r="A326" s="14" t="s">
        <v>140</v>
      </c>
      <c r="B326" s="50"/>
      <c r="C326" s="43"/>
      <c r="D326" s="43"/>
      <c r="E326" s="44"/>
      <c r="F326" s="44"/>
      <c r="G326" s="44"/>
      <c r="H326" s="45"/>
      <c r="I326" s="54"/>
      <c r="J326" s="47" t="str">
        <f>IF(OR(K326="ERREUR",L326="ERREUR",M326="ERREUR",N326="ERREUR",O326="ERREUR",P326="ERREUR",Q326="ERREUR"),"ERREUR",IF(AND(K326="",L326="",M326="",N326="",O326="",P326="",Q326=""),"ligne vide",IF(OR(K326="",L326="",M326="",N326="",O326="",P326="",Q326=""),"ligne incomplète","Valide")))</f>
        <v xml:space="preserve">ligne vide</v>
      </c>
      <c r="K326" s="48" t="str">
        <f>IF(ISBLANK(B326),IF(ISBLANK(B327),T(B326),"ERREUR"),IF(ISNUMBER(B326),_xlfn.NUMBERVALUE(B326),IF(ISTEXT(B326),VALUE(B326),"ERREUR")))</f>
        <v/>
      </c>
      <c r="L326" s="38" t="str">
        <f>IF(COUNTIF($R$4:$R$6,C326)&gt;0,C326,IF(ISBLANK(C326),IF(ISBLANK(D326),T(C326),"ERREUR"),"ERREUR"))</f>
        <v/>
      </c>
      <c r="M326" s="49" t="str">
        <f>IF(ISBLANK(D326),IF(ISBLANK(D327),T(D326),"ERREUR"),IF(COUNTIF($T$4:$T$240,SUBSTITUTE(SUBSTITUTE(SUBSTITUTE(SUBSTITUTE(SUBSTITUTE(SUBSTITUTE(UPPER(D326),"Å","A"),"É","E"),"È","E"),"Ê","E"),"Î","I"),"Ï","I"))&gt;0,D326,IF(ISBLANK(D326),T(D326),"ERREUR")))</f>
        <v/>
      </c>
      <c r="N326" s="38" t="str">
        <f>IF(COUNTIF($V$4:$V$6,E326)&gt;0,E326,IF(ISBLANK(E326),IF(ISBLANK(E327),T(E326),"ERREUR"),"ERREUR"))</f>
        <v/>
      </c>
      <c r="O326" s="38" t="str">
        <f>IF(COUNTIF($W$4:$W$5,F326)&gt;0,F326,IF(ISBLANK(F326),IF(ISBLANK(F327),T(F326),"ERREUR"),"ERREUR"))</f>
        <v/>
      </c>
      <c r="P326" s="38" t="str">
        <f>IF(COUNTIF($X$4:$X$8,G326)&gt;0,G326,IF(ISBLANK(G326),IF(ISBLANK(G327),T(G326),"ERREUR"),"ERREUR"))</f>
        <v/>
      </c>
      <c r="Q326" s="38" t="str">
        <f>IF(ISNUMBER(H326),IF(INT(H326)=H326,H326,"ERREUR"),IF(ISBLANK(H326),IF(ISBLANK(H327),T(H326),"ERREUR"),"ERREUR"))</f>
        <v/>
      </c>
      <c r="R326" s="38"/>
      <c r="S326" s="38"/>
      <c r="T326" s="38"/>
      <c r="U326" s="38"/>
      <c r="V326" s="38"/>
      <c r="W326" s="38"/>
      <c r="X326" s="53"/>
      <c r="Y326" s="42"/>
      <c r="Z326" s="42"/>
      <c r="AA326" s="42"/>
    </row>
    <row r="327" ht="13.75" customHeight="1">
      <c r="A327" s="14" t="s">
        <v>140</v>
      </c>
      <c r="B327" s="50"/>
      <c r="C327" s="43"/>
      <c r="D327" s="43"/>
      <c r="E327" s="44"/>
      <c r="F327" s="44"/>
      <c r="G327" s="44"/>
      <c r="H327" s="45"/>
      <c r="I327" s="54"/>
      <c r="J327" s="47" t="str">
        <f>IF(OR(K327="ERREUR",L327="ERREUR",M327="ERREUR",N327="ERREUR",O327="ERREUR",P327="ERREUR",Q327="ERREUR"),"ERREUR",IF(AND(K327="",L327="",M327="",N327="",O327="",P327="",Q327=""),"ligne vide",IF(OR(K327="",L327="",M327="",N327="",O327="",P327="",Q327=""),"ligne incomplète","Valide")))</f>
        <v xml:space="preserve">ligne vide</v>
      </c>
      <c r="K327" s="48" t="str">
        <f>IF(ISBLANK(B327),IF(ISBLANK(B328),T(B327),"ERREUR"),IF(ISNUMBER(B327),_xlfn.NUMBERVALUE(B327),IF(ISTEXT(B327),VALUE(B327),"ERREUR")))</f>
        <v/>
      </c>
      <c r="L327" s="38" t="str">
        <f>IF(COUNTIF($R$4:$R$6,C327)&gt;0,C327,IF(ISBLANK(C327),IF(ISBLANK(D327),T(C327),"ERREUR"),"ERREUR"))</f>
        <v/>
      </c>
      <c r="M327" s="49" t="str">
        <f>IF(ISBLANK(D327),IF(ISBLANK(D328),T(D327),"ERREUR"),IF(COUNTIF($T$4:$T$240,SUBSTITUTE(SUBSTITUTE(SUBSTITUTE(SUBSTITUTE(SUBSTITUTE(SUBSTITUTE(UPPER(D327),"Å","A"),"É","E"),"È","E"),"Ê","E"),"Î","I"),"Ï","I"))&gt;0,D327,IF(ISBLANK(D327),T(D327),"ERREUR")))</f>
        <v/>
      </c>
      <c r="N327" s="38" t="str">
        <f>IF(COUNTIF($V$4:$V$6,E327)&gt;0,E327,IF(ISBLANK(E327),IF(ISBLANK(E328),T(E327),"ERREUR"),"ERREUR"))</f>
        <v/>
      </c>
      <c r="O327" s="38" t="str">
        <f>IF(COUNTIF($W$4:$W$5,F327)&gt;0,F327,IF(ISBLANK(F327),IF(ISBLANK(F328),T(F327),"ERREUR"),"ERREUR"))</f>
        <v/>
      </c>
      <c r="P327" s="38" t="str">
        <f>IF(COUNTIF($X$4:$X$8,G327)&gt;0,G327,IF(ISBLANK(G327),IF(ISBLANK(G328),T(G327),"ERREUR"),"ERREUR"))</f>
        <v/>
      </c>
      <c r="Q327" s="38" t="str">
        <f>IF(ISNUMBER(H327),IF(INT(H327)=H327,H327,"ERREUR"),IF(ISBLANK(H327),IF(ISBLANK(H328),T(H327),"ERREUR"),"ERREUR"))</f>
        <v/>
      </c>
      <c r="R327" s="38"/>
      <c r="S327" s="38"/>
      <c r="T327" s="38"/>
      <c r="U327" s="38"/>
      <c r="V327" s="38"/>
      <c r="W327" s="38"/>
      <c r="X327" s="53"/>
      <c r="Y327" s="42"/>
      <c r="Z327" s="42"/>
      <c r="AA327" s="42"/>
    </row>
    <row r="328" ht="13.75" customHeight="1">
      <c r="A328" s="14" t="s">
        <v>140</v>
      </c>
      <c r="B328" s="50"/>
      <c r="C328" s="43"/>
      <c r="D328" s="43"/>
      <c r="E328" s="44"/>
      <c r="F328" s="44"/>
      <c r="G328" s="44"/>
      <c r="H328" s="45"/>
      <c r="I328" s="54"/>
      <c r="J328" s="47" t="str">
        <f>IF(OR(K328="ERREUR",L328="ERREUR",M328="ERREUR",N328="ERREUR",O328="ERREUR",P328="ERREUR",Q328="ERREUR"),"ERREUR",IF(AND(K328="",L328="",M328="",N328="",O328="",P328="",Q328=""),"ligne vide",IF(OR(K328="",L328="",M328="",N328="",O328="",P328="",Q328=""),"ligne incomplète","Valide")))</f>
        <v xml:space="preserve">ligne vide</v>
      </c>
      <c r="K328" s="48" t="str">
        <f>IF(ISBLANK(B328),IF(ISBLANK(B329),T(B328),"ERREUR"),IF(ISNUMBER(B328),_xlfn.NUMBERVALUE(B328),IF(ISTEXT(B328),VALUE(B328),"ERREUR")))</f>
        <v/>
      </c>
      <c r="L328" s="38" t="str">
        <f>IF(COUNTIF($R$4:$R$6,C328)&gt;0,C328,IF(ISBLANK(C328),IF(ISBLANK(D328),T(C328),"ERREUR"),"ERREUR"))</f>
        <v/>
      </c>
      <c r="M328" s="49" t="str">
        <f>IF(ISBLANK(D328),IF(ISBLANK(D329),T(D328),"ERREUR"),IF(COUNTIF($T$4:$T$240,SUBSTITUTE(SUBSTITUTE(SUBSTITUTE(SUBSTITUTE(SUBSTITUTE(SUBSTITUTE(UPPER(D328),"Å","A"),"É","E"),"È","E"),"Ê","E"),"Î","I"),"Ï","I"))&gt;0,D328,IF(ISBLANK(D328),T(D328),"ERREUR")))</f>
        <v/>
      </c>
      <c r="N328" s="38" t="str">
        <f>IF(COUNTIF($V$4:$V$6,E328)&gt;0,E328,IF(ISBLANK(E328),IF(ISBLANK(E329),T(E328),"ERREUR"),"ERREUR"))</f>
        <v/>
      </c>
      <c r="O328" s="38" t="str">
        <f>IF(COUNTIF($W$4:$W$5,F328)&gt;0,F328,IF(ISBLANK(F328),IF(ISBLANK(F329),T(F328),"ERREUR"),"ERREUR"))</f>
        <v/>
      </c>
      <c r="P328" s="38" t="str">
        <f>IF(COUNTIF($X$4:$X$8,G328)&gt;0,G328,IF(ISBLANK(G328),IF(ISBLANK(G329),T(G328),"ERREUR"),"ERREUR"))</f>
        <v/>
      </c>
      <c r="Q328" s="38" t="str">
        <f>IF(ISNUMBER(H328),IF(INT(H328)=H328,H328,"ERREUR"),IF(ISBLANK(H328),IF(ISBLANK(H329),T(H328),"ERREUR"),"ERREUR"))</f>
        <v/>
      </c>
      <c r="R328" s="38"/>
      <c r="S328" s="38"/>
      <c r="T328" s="38"/>
      <c r="U328" s="38"/>
      <c r="V328" s="38"/>
      <c r="W328" s="38"/>
      <c r="X328" s="53"/>
      <c r="Y328" s="42"/>
      <c r="Z328" s="42"/>
      <c r="AA328" s="42"/>
    </row>
    <row r="329" ht="13.75" customHeight="1">
      <c r="A329" s="14" t="s">
        <v>140</v>
      </c>
      <c r="B329" s="50"/>
      <c r="C329" s="43"/>
      <c r="D329" s="43"/>
      <c r="E329" s="44"/>
      <c r="F329" s="44"/>
      <c r="G329" s="44"/>
      <c r="H329" s="45"/>
      <c r="I329" s="54"/>
      <c r="J329" s="47" t="str">
        <f>IF(OR(K329="ERREUR",L329="ERREUR",M329="ERREUR",N329="ERREUR",O329="ERREUR",P329="ERREUR",Q329="ERREUR"),"ERREUR",IF(AND(K329="",L329="",M329="",N329="",O329="",P329="",Q329=""),"ligne vide",IF(OR(K329="",L329="",M329="",N329="",O329="",P329="",Q329=""),"ligne incomplète","Valide")))</f>
        <v xml:space="preserve">ligne vide</v>
      </c>
      <c r="K329" s="48" t="str">
        <f>IF(ISBLANK(B329),IF(ISBLANK(B330),T(B329),"ERREUR"),IF(ISNUMBER(B329),_xlfn.NUMBERVALUE(B329),IF(ISTEXT(B329),VALUE(B329),"ERREUR")))</f>
        <v/>
      </c>
      <c r="L329" s="38" t="str">
        <f>IF(COUNTIF($R$4:$R$6,C329)&gt;0,C329,IF(ISBLANK(C329),IF(ISBLANK(D329),T(C329),"ERREUR"),"ERREUR"))</f>
        <v/>
      </c>
      <c r="M329" s="49" t="str">
        <f>IF(ISBLANK(D329),IF(ISBLANK(D330),T(D329),"ERREUR"),IF(COUNTIF($T$4:$T$240,SUBSTITUTE(SUBSTITUTE(SUBSTITUTE(SUBSTITUTE(SUBSTITUTE(SUBSTITUTE(UPPER(D329),"Å","A"),"É","E"),"È","E"),"Ê","E"),"Î","I"),"Ï","I"))&gt;0,D329,IF(ISBLANK(D329),T(D329),"ERREUR")))</f>
        <v/>
      </c>
      <c r="N329" s="38" t="str">
        <f>IF(COUNTIF($V$4:$V$6,E329)&gt;0,E329,IF(ISBLANK(E329),IF(ISBLANK(E330),T(E329),"ERREUR"),"ERREUR"))</f>
        <v/>
      </c>
      <c r="O329" s="38" t="str">
        <f>IF(COUNTIF($W$4:$W$5,F329)&gt;0,F329,IF(ISBLANK(F329),IF(ISBLANK(F330),T(F329),"ERREUR"),"ERREUR"))</f>
        <v/>
      </c>
      <c r="P329" s="38" t="str">
        <f>IF(COUNTIF($X$4:$X$8,G329)&gt;0,G329,IF(ISBLANK(G329),IF(ISBLANK(G330),T(G329),"ERREUR"),"ERREUR"))</f>
        <v/>
      </c>
      <c r="Q329" s="38" t="str">
        <f>IF(ISNUMBER(H329),IF(INT(H329)=H329,H329,"ERREUR"),IF(ISBLANK(H329),IF(ISBLANK(H330),T(H329),"ERREUR"),"ERREUR"))</f>
        <v/>
      </c>
      <c r="R329" s="38"/>
      <c r="S329" s="38"/>
      <c r="T329" s="38"/>
      <c r="U329" s="38"/>
      <c r="V329" s="38"/>
      <c r="W329" s="38"/>
      <c r="X329" s="53"/>
      <c r="Y329" s="42"/>
      <c r="Z329" s="42"/>
      <c r="AA329" s="42"/>
    </row>
    <row r="330" ht="13.75" customHeight="1">
      <c r="A330" s="14" t="s">
        <v>140</v>
      </c>
      <c r="B330" s="50"/>
      <c r="C330" s="43"/>
      <c r="D330" s="43"/>
      <c r="E330" s="44"/>
      <c r="F330" s="44"/>
      <c r="G330" s="44"/>
      <c r="H330" s="45"/>
      <c r="I330" s="54"/>
      <c r="J330" s="47" t="str">
        <f>IF(OR(K330="ERREUR",L330="ERREUR",M330="ERREUR",N330="ERREUR",O330="ERREUR",P330="ERREUR",Q330="ERREUR"),"ERREUR",IF(AND(K330="",L330="",M330="",N330="",O330="",P330="",Q330=""),"ligne vide",IF(OR(K330="",L330="",M330="",N330="",O330="",P330="",Q330=""),"ligne incomplète","Valide")))</f>
        <v xml:space="preserve">ligne vide</v>
      </c>
      <c r="K330" s="48" t="str">
        <f>IF(ISBLANK(B330),IF(ISBLANK(B331),T(B330),"ERREUR"),IF(ISNUMBER(B330),_xlfn.NUMBERVALUE(B330),IF(ISTEXT(B330),VALUE(B330),"ERREUR")))</f>
        <v/>
      </c>
      <c r="L330" s="38" t="str">
        <f>IF(COUNTIF($R$4:$R$6,C330)&gt;0,C330,IF(ISBLANK(C330),IF(ISBLANK(D330),T(C330),"ERREUR"),"ERREUR"))</f>
        <v/>
      </c>
      <c r="M330" s="49" t="str">
        <f>IF(ISBLANK(D330),IF(ISBLANK(D331),T(D330),"ERREUR"),IF(COUNTIF($T$4:$T$240,SUBSTITUTE(SUBSTITUTE(SUBSTITUTE(SUBSTITUTE(SUBSTITUTE(SUBSTITUTE(UPPER(D330),"Å","A"),"É","E"),"È","E"),"Ê","E"),"Î","I"),"Ï","I"))&gt;0,D330,IF(ISBLANK(D330),T(D330),"ERREUR")))</f>
        <v/>
      </c>
      <c r="N330" s="38" t="str">
        <f>IF(COUNTIF($V$4:$V$6,E330)&gt;0,E330,IF(ISBLANK(E330),IF(ISBLANK(E331),T(E330),"ERREUR"),"ERREUR"))</f>
        <v/>
      </c>
      <c r="O330" s="38" t="str">
        <f>IF(COUNTIF($W$4:$W$5,F330)&gt;0,F330,IF(ISBLANK(F330),IF(ISBLANK(F331),T(F330),"ERREUR"),"ERREUR"))</f>
        <v/>
      </c>
      <c r="P330" s="38" t="str">
        <f>IF(COUNTIF($X$4:$X$8,G330)&gt;0,G330,IF(ISBLANK(G330),IF(ISBLANK(G331),T(G330),"ERREUR"),"ERREUR"))</f>
        <v/>
      </c>
      <c r="Q330" s="38" t="str">
        <f>IF(ISNUMBER(H330),IF(INT(H330)=H330,H330,"ERREUR"),IF(ISBLANK(H330),IF(ISBLANK(H331),T(H330),"ERREUR"),"ERREUR"))</f>
        <v/>
      </c>
      <c r="R330" s="38"/>
      <c r="S330" s="38"/>
      <c r="T330" s="38"/>
      <c r="U330" s="38"/>
      <c r="V330" s="38"/>
      <c r="W330" s="38"/>
      <c r="X330" s="53"/>
      <c r="Y330" s="42"/>
      <c r="Z330" s="42"/>
      <c r="AA330" s="42"/>
    </row>
    <row r="331" ht="13.75" customHeight="1">
      <c r="A331" s="14" t="s">
        <v>140</v>
      </c>
      <c r="B331" s="50"/>
      <c r="C331" s="43"/>
      <c r="D331" s="43"/>
      <c r="E331" s="44"/>
      <c r="F331" s="44"/>
      <c r="G331" s="44"/>
      <c r="H331" s="45"/>
      <c r="I331" s="54"/>
      <c r="J331" s="47" t="str">
        <f>IF(OR(K331="ERREUR",L331="ERREUR",M331="ERREUR",N331="ERREUR",O331="ERREUR",P331="ERREUR",Q331="ERREUR"),"ERREUR",IF(AND(K331="",L331="",M331="",N331="",O331="",P331="",Q331=""),"ligne vide",IF(OR(K331="",L331="",M331="",N331="",O331="",P331="",Q331=""),"ligne incomplète","Valide")))</f>
        <v xml:space="preserve">ligne vide</v>
      </c>
      <c r="K331" s="48" t="str">
        <f>IF(ISBLANK(B331),IF(ISBLANK(B332),T(B331),"ERREUR"),IF(ISNUMBER(B331),_xlfn.NUMBERVALUE(B331),IF(ISTEXT(B331),VALUE(B331),"ERREUR")))</f>
        <v/>
      </c>
      <c r="L331" s="38" t="str">
        <f>IF(COUNTIF($R$4:$R$6,C331)&gt;0,C331,IF(ISBLANK(C331),IF(ISBLANK(D331),T(C331),"ERREUR"),"ERREUR"))</f>
        <v/>
      </c>
      <c r="M331" s="49" t="str">
        <f>IF(ISBLANK(D331),IF(ISBLANK(D332),T(D331),"ERREUR"),IF(COUNTIF($T$4:$T$240,SUBSTITUTE(SUBSTITUTE(SUBSTITUTE(SUBSTITUTE(SUBSTITUTE(SUBSTITUTE(UPPER(D331),"Å","A"),"É","E"),"È","E"),"Ê","E"),"Î","I"),"Ï","I"))&gt;0,D331,IF(ISBLANK(D331),T(D331),"ERREUR")))</f>
        <v/>
      </c>
      <c r="N331" s="38" t="str">
        <f>IF(COUNTIF($V$4:$V$6,E331)&gt;0,E331,IF(ISBLANK(E331),IF(ISBLANK(E332),T(E331),"ERREUR"),"ERREUR"))</f>
        <v/>
      </c>
      <c r="O331" s="38" t="str">
        <f>IF(COUNTIF($W$4:$W$5,F331)&gt;0,F331,IF(ISBLANK(F331),IF(ISBLANK(F332),T(F331),"ERREUR"),"ERREUR"))</f>
        <v/>
      </c>
      <c r="P331" s="38" t="str">
        <f>IF(COUNTIF($X$4:$X$8,G331)&gt;0,G331,IF(ISBLANK(G331),IF(ISBLANK(G332),T(G331),"ERREUR"),"ERREUR"))</f>
        <v/>
      </c>
      <c r="Q331" s="38" t="str">
        <f>IF(ISNUMBER(H331),IF(INT(H331)=H331,H331,"ERREUR"),IF(ISBLANK(H331),IF(ISBLANK(H332),T(H331),"ERREUR"),"ERREUR"))</f>
        <v/>
      </c>
      <c r="R331" s="38"/>
      <c r="S331" s="38"/>
      <c r="T331" s="38"/>
      <c r="U331" s="38"/>
      <c r="V331" s="38"/>
      <c r="W331" s="38"/>
      <c r="X331" s="53"/>
      <c r="Y331" s="42"/>
      <c r="Z331" s="42"/>
      <c r="AA331" s="42"/>
    </row>
    <row r="332" ht="13.75" customHeight="1">
      <c r="A332" s="14" t="s">
        <v>140</v>
      </c>
      <c r="B332" s="50"/>
      <c r="C332" s="43"/>
      <c r="D332" s="43"/>
      <c r="E332" s="44"/>
      <c r="F332" s="44"/>
      <c r="G332" s="44"/>
      <c r="H332" s="45"/>
      <c r="I332" s="54"/>
      <c r="J332" s="47" t="str">
        <f>IF(OR(K332="ERREUR",L332="ERREUR",M332="ERREUR",N332="ERREUR",O332="ERREUR",P332="ERREUR",Q332="ERREUR"),"ERREUR",IF(AND(K332="",L332="",M332="",N332="",O332="",P332="",Q332=""),"ligne vide",IF(OR(K332="",L332="",M332="",N332="",O332="",P332="",Q332=""),"ligne incomplète","Valide")))</f>
        <v xml:space="preserve">ligne vide</v>
      </c>
      <c r="K332" s="48" t="str">
        <f>IF(ISBLANK(B332),IF(ISBLANK(B333),T(B332),"ERREUR"),IF(ISNUMBER(B332),_xlfn.NUMBERVALUE(B332),IF(ISTEXT(B332),VALUE(B332),"ERREUR")))</f>
        <v/>
      </c>
      <c r="L332" s="38" t="str">
        <f>IF(COUNTIF($R$4:$R$6,C332)&gt;0,C332,IF(ISBLANK(C332),IF(ISBLANK(D332),T(C332),"ERREUR"),"ERREUR"))</f>
        <v/>
      </c>
      <c r="M332" s="49" t="str">
        <f>IF(ISBLANK(D332),IF(ISBLANK(D333),T(D332),"ERREUR"),IF(COUNTIF($T$4:$T$240,SUBSTITUTE(SUBSTITUTE(SUBSTITUTE(SUBSTITUTE(SUBSTITUTE(SUBSTITUTE(UPPER(D332),"Å","A"),"É","E"),"È","E"),"Ê","E"),"Î","I"),"Ï","I"))&gt;0,D332,IF(ISBLANK(D332),T(D332),"ERREUR")))</f>
        <v/>
      </c>
      <c r="N332" s="38" t="str">
        <f>IF(COUNTIF($V$4:$V$6,E332)&gt;0,E332,IF(ISBLANK(E332),IF(ISBLANK(E333),T(E332),"ERREUR"),"ERREUR"))</f>
        <v/>
      </c>
      <c r="O332" s="38" t="str">
        <f>IF(COUNTIF($W$4:$W$5,F332)&gt;0,F332,IF(ISBLANK(F332),IF(ISBLANK(F333),T(F332),"ERREUR"),"ERREUR"))</f>
        <v/>
      </c>
      <c r="P332" s="38" t="str">
        <f>IF(COUNTIF($X$4:$X$8,G332)&gt;0,G332,IF(ISBLANK(G332),IF(ISBLANK(G333),T(G332),"ERREUR"),"ERREUR"))</f>
        <v/>
      </c>
      <c r="Q332" s="38" t="str">
        <f>IF(ISNUMBER(H332),IF(INT(H332)=H332,H332,"ERREUR"),IF(ISBLANK(H332),IF(ISBLANK(H333),T(H332),"ERREUR"),"ERREUR"))</f>
        <v/>
      </c>
      <c r="R332" s="38"/>
      <c r="S332" s="38"/>
      <c r="T332" s="38"/>
      <c r="U332" s="38"/>
      <c r="V332" s="38"/>
      <c r="W332" s="38"/>
      <c r="X332" s="53"/>
      <c r="Y332" s="42"/>
      <c r="Z332" s="42"/>
      <c r="AA332" s="42"/>
    </row>
    <row r="333" ht="13.75" customHeight="1">
      <c r="A333" s="14" t="s">
        <v>140</v>
      </c>
      <c r="B333" s="50"/>
      <c r="C333" s="43"/>
      <c r="D333" s="43"/>
      <c r="E333" s="44"/>
      <c r="F333" s="44"/>
      <c r="G333" s="44"/>
      <c r="H333" s="45"/>
      <c r="I333" s="54"/>
      <c r="J333" s="47" t="str">
        <f>IF(OR(K333="ERREUR",L333="ERREUR",M333="ERREUR",N333="ERREUR",O333="ERREUR",P333="ERREUR",Q333="ERREUR"),"ERREUR",IF(AND(K333="",L333="",M333="",N333="",O333="",P333="",Q333=""),"ligne vide",IF(OR(K333="",L333="",M333="",N333="",O333="",P333="",Q333=""),"ligne incomplète","Valide")))</f>
        <v xml:space="preserve">ligne vide</v>
      </c>
      <c r="K333" s="48" t="str">
        <f>IF(ISBLANK(B333),IF(ISBLANK(B334),T(B333),"ERREUR"),IF(ISNUMBER(B333),_xlfn.NUMBERVALUE(B333),IF(ISTEXT(B333),VALUE(B333),"ERREUR")))</f>
        <v/>
      </c>
      <c r="L333" s="38" t="str">
        <f>IF(COUNTIF($R$4:$R$6,C333)&gt;0,C333,IF(ISBLANK(C333),IF(ISBLANK(D333),T(C333),"ERREUR"),"ERREUR"))</f>
        <v/>
      </c>
      <c r="M333" s="49" t="str">
        <f>IF(ISBLANK(D333),IF(ISBLANK(D334),T(D333),"ERREUR"),IF(COUNTIF($T$4:$T$240,SUBSTITUTE(SUBSTITUTE(SUBSTITUTE(SUBSTITUTE(SUBSTITUTE(SUBSTITUTE(UPPER(D333),"Å","A"),"É","E"),"È","E"),"Ê","E"),"Î","I"),"Ï","I"))&gt;0,D333,IF(ISBLANK(D333),T(D333),"ERREUR")))</f>
        <v/>
      </c>
      <c r="N333" s="38" t="str">
        <f>IF(COUNTIF($V$4:$V$6,E333)&gt;0,E333,IF(ISBLANK(E333),IF(ISBLANK(E334),T(E333),"ERREUR"),"ERREUR"))</f>
        <v/>
      </c>
      <c r="O333" s="38" t="str">
        <f>IF(COUNTIF($W$4:$W$5,F333)&gt;0,F333,IF(ISBLANK(F333),IF(ISBLANK(F334),T(F333),"ERREUR"),"ERREUR"))</f>
        <v/>
      </c>
      <c r="P333" s="38" t="str">
        <f>IF(COUNTIF($X$4:$X$8,G333)&gt;0,G333,IF(ISBLANK(G333),IF(ISBLANK(G334),T(G333),"ERREUR"),"ERREUR"))</f>
        <v/>
      </c>
      <c r="Q333" s="38" t="str">
        <f>IF(ISNUMBER(H333),IF(INT(H333)=H333,H333,"ERREUR"),IF(ISBLANK(H333),IF(ISBLANK(H334),T(H333),"ERREUR"),"ERREUR"))</f>
        <v/>
      </c>
      <c r="R333" s="38"/>
      <c r="S333" s="38"/>
      <c r="T333" s="38"/>
      <c r="U333" s="38"/>
      <c r="V333" s="38"/>
      <c r="W333" s="38"/>
      <c r="X333" s="53"/>
      <c r="Y333" s="42"/>
      <c r="Z333" s="42"/>
      <c r="AA333" s="42"/>
    </row>
    <row r="334" ht="13.75" customHeight="1">
      <c r="A334" s="14" t="s">
        <v>140</v>
      </c>
      <c r="B334" s="50"/>
      <c r="C334" s="43"/>
      <c r="D334" s="43"/>
      <c r="E334" s="44"/>
      <c r="F334" s="44"/>
      <c r="G334" s="44"/>
      <c r="H334" s="45"/>
      <c r="I334" s="54"/>
      <c r="J334" s="47" t="str">
        <f>IF(OR(K334="ERREUR",L334="ERREUR",M334="ERREUR",N334="ERREUR",O334="ERREUR",P334="ERREUR",Q334="ERREUR"),"ERREUR",IF(AND(K334="",L334="",M334="",N334="",O334="",P334="",Q334=""),"ligne vide",IF(OR(K334="",L334="",M334="",N334="",O334="",P334="",Q334=""),"ligne incomplète","Valide")))</f>
        <v xml:space="preserve">ligne vide</v>
      </c>
      <c r="K334" s="48" t="str">
        <f>IF(ISBLANK(B334),IF(ISBLANK(B335),T(B334),"ERREUR"),IF(ISNUMBER(B334),_xlfn.NUMBERVALUE(B334),IF(ISTEXT(B334),VALUE(B334),"ERREUR")))</f>
        <v/>
      </c>
      <c r="L334" s="38" t="str">
        <f>IF(COUNTIF($R$4:$R$6,C334)&gt;0,C334,IF(ISBLANK(C334),IF(ISBLANK(D334),T(C334),"ERREUR"),"ERREUR"))</f>
        <v/>
      </c>
      <c r="M334" s="49" t="str">
        <f>IF(ISBLANK(D334),IF(ISBLANK(D335),T(D334),"ERREUR"),IF(COUNTIF($T$4:$T$240,SUBSTITUTE(SUBSTITUTE(SUBSTITUTE(SUBSTITUTE(SUBSTITUTE(SUBSTITUTE(UPPER(D334),"Å","A"),"É","E"),"È","E"),"Ê","E"),"Î","I"),"Ï","I"))&gt;0,D334,IF(ISBLANK(D334),T(D334),"ERREUR")))</f>
        <v/>
      </c>
      <c r="N334" s="38" t="str">
        <f>IF(COUNTIF($V$4:$V$6,E334)&gt;0,E334,IF(ISBLANK(E334),IF(ISBLANK(E335),T(E334),"ERREUR"),"ERREUR"))</f>
        <v/>
      </c>
      <c r="O334" s="38" t="str">
        <f>IF(COUNTIF($W$4:$W$5,F334)&gt;0,F334,IF(ISBLANK(F334),IF(ISBLANK(F335),T(F334),"ERREUR"),"ERREUR"))</f>
        <v/>
      </c>
      <c r="P334" s="38" t="str">
        <f>IF(COUNTIF($X$4:$X$8,G334)&gt;0,G334,IF(ISBLANK(G334),IF(ISBLANK(G335),T(G334),"ERREUR"),"ERREUR"))</f>
        <v/>
      </c>
      <c r="Q334" s="38" t="str">
        <f>IF(ISNUMBER(H334),IF(INT(H334)=H334,H334,"ERREUR"),IF(ISBLANK(H334),IF(ISBLANK(H335),T(H334),"ERREUR"),"ERREUR"))</f>
        <v/>
      </c>
      <c r="R334" s="38"/>
      <c r="S334" s="38"/>
      <c r="T334" s="38"/>
      <c r="U334" s="38"/>
      <c r="V334" s="38"/>
      <c r="W334" s="38"/>
      <c r="X334" s="53"/>
      <c r="Y334" s="42"/>
      <c r="Z334" s="42"/>
      <c r="AA334" s="42"/>
    </row>
    <row r="335" ht="13.75" customHeight="1">
      <c r="A335" s="14" t="s">
        <v>140</v>
      </c>
      <c r="B335" s="50"/>
      <c r="C335" s="43"/>
      <c r="D335" s="43"/>
      <c r="E335" s="44"/>
      <c r="F335" s="44"/>
      <c r="G335" s="44"/>
      <c r="H335" s="45"/>
      <c r="I335" s="54"/>
      <c r="J335" s="47" t="str">
        <f>IF(OR(K335="ERREUR",L335="ERREUR",M335="ERREUR",N335="ERREUR",O335="ERREUR",P335="ERREUR",Q335="ERREUR"),"ERREUR",IF(AND(K335="",L335="",M335="",N335="",O335="",P335="",Q335=""),"ligne vide",IF(OR(K335="",L335="",M335="",N335="",O335="",P335="",Q335=""),"ligne incomplète","Valide")))</f>
        <v xml:space="preserve">ligne vide</v>
      </c>
      <c r="K335" s="48" t="str">
        <f>IF(ISBLANK(B335),IF(ISBLANK(B336),T(B335),"ERREUR"),IF(ISNUMBER(B335),_xlfn.NUMBERVALUE(B335),IF(ISTEXT(B335),VALUE(B335),"ERREUR")))</f>
        <v/>
      </c>
      <c r="L335" s="38" t="str">
        <f>IF(COUNTIF($R$4:$R$6,C335)&gt;0,C335,IF(ISBLANK(C335),IF(ISBLANK(D335),T(C335),"ERREUR"),"ERREUR"))</f>
        <v/>
      </c>
      <c r="M335" s="49" t="str">
        <f>IF(ISBLANK(D335),IF(ISBLANK(D336),T(D335),"ERREUR"),IF(COUNTIF($T$4:$T$240,SUBSTITUTE(SUBSTITUTE(SUBSTITUTE(SUBSTITUTE(SUBSTITUTE(SUBSTITUTE(UPPER(D335),"Å","A"),"É","E"),"È","E"),"Ê","E"),"Î","I"),"Ï","I"))&gt;0,D335,IF(ISBLANK(D335),T(D335),"ERREUR")))</f>
        <v/>
      </c>
      <c r="N335" s="38" t="str">
        <f>IF(COUNTIF($V$4:$V$6,E335)&gt;0,E335,IF(ISBLANK(E335),IF(ISBLANK(E336),T(E335),"ERREUR"),"ERREUR"))</f>
        <v/>
      </c>
      <c r="O335" s="38" t="str">
        <f>IF(COUNTIF($W$4:$W$5,F335)&gt;0,F335,IF(ISBLANK(F335),IF(ISBLANK(F336),T(F335),"ERREUR"),"ERREUR"))</f>
        <v/>
      </c>
      <c r="P335" s="38" t="str">
        <f>IF(COUNTIF($X$4:$X$8,G335)&gt;0,G335,IF(ISBLANK(G335),IF(ISBLANK(G336),T(G335),"ERREUR"),"ERREUR"))</f>
        <v/>
      </c>
      <c r="Q335" s="38" t="str">
        <f>IF(ISNUMBER(H335),IF(INT(H335)=H335,H335,"ERREUR"),IF(ISBLANK(H335),IF(ISBLANK(H336),T(H335),"ERREUR"),"ERREUR"))</f>
        <v/>
      </c>
      <c r="R335" s="38"/>
      <c r="S335" s="38"/>
      <c r="T335" s="38"/>
      <c r="U335" s="38"/>
      <c r="V335" s="38"/>
      <c r="W335" s="38"/>
      <c r="X335" s="53"/>
      <c r="Y335" s="42"/>
      <c r="Z335" s="42"/>
      <c r="AA335" s="42"/>
    </row>
    <row r="336" ht="13.75" customHeight="1">
      <c r="A336" s="14" t="s">
        <v>140</v>
      </c>
      <c r="B336" s="50"/>
      <c r="C336" s="43"/>
      <c r="D336" s="43"/>
      <c r="E336" s="44"/>
      <c r="F336" s="44"/>
      <c r="G336" s="44"/>
      <c r="H336" s="45"/>
      <c r="I336" s="54"/>
      <c r="J336" s="47" t="str">
        <f>IF(OR(K336="ERREUR",L336="ERREUR",M336="ERREUR",N336="ERREUR",O336="ERREUR",P336="ERREUR",Q336="ERREUR"),"ERREUR",IF(AND(K336="",L336="",M336="",N336="",O336="",P336="",Q336=""),"ligne vide",IF(OR(K336="",L336="",M336="",N336="",O336="",P336="",Q336=""),"ligne incomplète","Valide")))</f>
        <v xml:space="preserve">ligne vide</v>
      </c>
      <c r="K336" s="48" t="str">
        <f>IF(ISBLANK(B336),IF(ISBLANK(B337),T(B336),"ERREUR"),IF(ISNUMBER(B336),_xlfn.NUMBERVALUE(B336),IF(ISTEXT(B336),VALUE(B336),"ERREUR")))</f>
        <v/>
      </c>
      <c r="L336" s="38" t="str">
        <f>IF(COUNTIF($R$4:$R$6,C336)&gt;0,C336,IF(ISBLANK(C336),IF(ISBLANK(D336),T(C336),"ERREUR"),"ERREUR"))</f>
        <v/>
      </c>
      <c r="M336" s="49" t="str">
        <f>IF(ISBLANK(D336),IF(ISBLANK(D337),T(D336),"ERREUR"),IF(COUNTIF($T$4:$T$240,SUBSTITUTE(SUBSTITUTE(SUBSTITUTE(SUBSTITUTE(SUBSTITUTE(SUBSTITUTE(UPPER(D336),"Å","A"),"É","E"),"È","E"),"Ê","E"),"Î","I"),"Ï","I"))&gt;0,D336,IF(ISBLANK(D336),T(D336),"ERREUR")))</f>
        <v/>
      </c>
      <c r="N336" s="38" t="str">
        <f>IF(COUNTIF($V$4:$V$6,E336)&gt;0,E336,IF(ISBLANK(E336),IF(ISBLANK(E337),T(E336),"ERREUR"),"ERREUR"))</f>
        <v/>
      </c>
      <c r="O336" s="38" t="str">
        <f>IF(COUNTIF($W$4:$W$5,F336)&gt;0,F336,IF(ISBLANK(F336),IF(ISBLANK(F337),T(F336),"ERREUR"),"ERREUR"))</f>
        <v/>
      </c>
      <c r="P336" s="38" t="str">
        <f>IF(COUNTIF($X$4:$X$8,G336)&gt;0,G336,IF(ISBLANK(G336),IF(ISBLANK(G337),T(G336),"ERREUR"),"ERREUR"))</f>
        <v/>
      </c>
      <c r="Q336" s="38" t="str">
        <f>IF(ISNUMBER(H336),IF(INT(H336)=H336,H336,"ERREUR"),IF(ISBLANK(H336),IF(ISBLANK(H337),T(H336),"ERREUR"),"ERREUR"))</f>
        <v/>
      </c>
      <c r="R336" s="38"/>
      <c r="S336" s="38"/>
      <c r="T336" s="38"/>
      <c r="U336" s="38"/>
      <c r="V336" s="38"/>
      <c r="W336" s="38"/>
      <c r="X336" s="53"/>
      <c r="Y336" s="42"/>
      <c r="Z336" s="42"/>
      <c r="AA336" s="42"/>
    </row>
    <row r="337" ht="13.75" customHeight="1">
      <c r="A337" s="14" t="s">
        <v>140</v>
      </c>
      <c r="B337" s="50"/>
      <c r="C337" s="43"/>
      <c r="D337" s="43"/>
      <c r="E337" s="44"/>
      <c r="F337" s="44"/>
      <c r="G337" s="44"/>
      <c r="H337" s="45"/>
      <c r="I337" s="54"/>
      <c r="J337" s="47" t="str">
        <f>IF(OR(K337="ERREUR",L337="ERREUR",M337="ERREUR",N337="ERREUR",O337="ERREUR",P337="ERREUR",Q337="ERREUR"),"ERREUR",IF(AND(K337="",L337="",M337="",N337="",O337="",P337="",Q337=""),"ligne vide",IF(OR(K337="",L337="",M337="",N337="",O337="",P337="",Q337=""),"ligne incomplète","Valide")))</f>
        <v xml:space="preserve">ligne vide</v>
      </c>
      <c r="K337" s="48" t="str">
        <f>IF(ISBLANK(B337),IF(ISBLANK(B338),T(B337),"ERREUR"),IF(ISNUMBER(B337),_xlfn.NUMBERVALUE(B337),IF(ISTEXT(B337),VALUE(B337),"ERREUR")))</f>
        <v/>
      </c>
      <c r="L337" s="38" t="str">
        <f>IF(COUNTIF($R$4:$R$6,C337)&gt;0,C337,IF(ISBLANK(C337),IF(ISBLANK(D337),T(C337),"ERREUR"),"ERREUR"))</f>
        <v/>
      </c>
      <c r="M337" s="49" t="str">
        <f>IF(ISBLANK(D337),IF(ISBLANK(D338),T(D337),"ERREUR"),IF(COUNTIF($T$4:$T$240,SUBSTITUTE(SUBSTITUTE(SUBSTITUTE(SUBSTITUTE(SUBSTITUTE(SUBSTITUTE(UPPER(D337),"Å","A"),"É","E"),"È","E"),"Ê","E"),"Î","I"),"Ï","I"))&gt;0,D337,IF(ISBLANK(D337),T(D337),"ERREUR")))</f>
        <v/>
      </c>
      <c r="N337" s="38" t="str">
        <f>IF(COUNTIF($V$4:$V$6,E337)&gt;0,E337,IF(ISBLANK(E337),IF(ISBLANK(E338),T(E337),"ERREUR"),"ERREUR"))</f>
        <v/>
      </c>
      <c r="O337" s="38" t="str">
        <f>IF(COUNTIF($W$4:$W$5,F337)&gt;0,F337,IF(ISBLANK(F337),IF(ISBLANK(F338),T(F337),"ERREUR"),"ERREUR"))</f>
        <v/>
      </c>
      <c r="P337" s="38" t="str">
        <f>IF(COUNTIF($X$4:$X$8,G337)&gt;0,G337,IF(ISBLANK(G337),IF(ISBLANK(G338),T(G337),"ERREUR"),"ERREUR"))</f>
        <v/>
      </c>
      <c r="Q337" s="38" t="str">
        <f>IF(ISNUMBER(H337),IF(INT(H337)=H337,H337,"ERREUR"),IF(ISBLANK(H337),IF(ISBLANK(H338),T(H337),"ERREUR"),"ERREUR"))</f>
        <v/>
      </c>
      <c r="R337" s="38"/>
      <c r="S337" s="38"/>
      <c r="T337" s="38"/>
      <c r="U337" s="38"/>
      <c r="V337" s="38"/>
      <c r="W337" s="38"/>
      <c r="X337" s="53"/>
      <c r="Y337" s="42"/>
      <c r="Z337" s="42"/>
      <c r="AA337" s="42"/>
    </row>
    <row r="338" ht="13.75" customHeight="1">
      <c r="A338" s="14" t="s">
        <v>140</v>
      </c>
      <c r="B338" s="50"/>
      <c r="C338" s="43"/>
      <c r="D338" s="43"/>
      <c r="E338" s="44"/>
      <c r="F338" s="44"/>
      <c r="G338" s="44"/>
      <c r="H338" s="45"/>
      <c r="I338" s="54"/>
      <c r="J338" s="47" t="str">
        <f>IF(OR(K338="ERREUR",L338="ERREUR",M338="ERREUR",N338="ERREUR",O338="ERREUR",P338="ERREUR",Q338="ERREUR"),"ERREUR",IF(AND(K338="",L338="",M338="",N338="",O338="",P338="",Q338=""),"ligne vide",IF(OR(K338="",L338="",M338="",N338="",O338="",P338="",Q338=""),"ligne incomplète","Valide")))</f>
        <v xml:space="preserve">ligne vide</v>
      </c>
      <c r="K338" s="48" t="str">
        <f>IF(ISBLANK(B338),IF(ISBLANK(B339),T(B338),"ERREUR"),IF(ISNUMBER(B338),_xlfn.NUMBERVALUE(B338),IF(ISTEXT(B338),VALUE(B338),"ERREUR")))</f>
        <v/>
      </c>
      <c r="L338" s="38" t="str">
        <f>IF(COUNTIF($R$4:$R$6,C338)&gt;0,C338,IF(ISBLANK(C338),IF(ISBLANK(D338),T(C338),"ERREUR"),"ERREUR"))</f>
        <v/>
      </c>
      <c r="M338" s="49" t="str">
        <f>IF(ISBLANK(D338),IF(ISBLANK(D339),T(D338),"ERREUR"),IF(COUNTIF($T$4:$T$240,SUBSTITUTE(SUBSTITUTE(SUBSTITUTE(SUBSTITUTE(SUBSTITUTE(SUBSTITUTE(UPPER(D338),"Å","A"),"É","E"),"È","E"),"Ê","E"),"Î","I"),"Ï","I"))&gt;0,D338,IF(ISBLANK(D338),T(D338),"ERREUR")))</f>
        <v/>
      </c>
      <c r="N338" s="38" t="str">
        <f>IF(COUNTIF($V$4:$V$6,E338)&gt;0,E338,IF(ISBLANK(E338),IF(ISBLANK(E339),T(E338),"ERREUR"),"ERREUR"))</f>
        <v/>
      </c>
      <c r="O338" s="38" t="str">
        <f>IF(COUNTIF($W$4:$W$5,F338)&gt;0,F338,IF(ISBLANK(F338),IF(ISBLANK(F339),T(F338),"ERREUR"),"ERREUR"))</f>
        <v/>
      </c>
      <c r="P338" s="38" t="str">
        <f>IF(COUNTIF($X$4:$X$8,G338)&gt;0,G338,IF(ISBLANK(G338),IF(ISBLANK(G339),T(G338),"ERREUR"),"ERREUR"))</f>
        <v/>
      </c>
      <c r="Q338" s="38" t="str">
        <f>IF(ISNUMBER(H338),IF(INT(H338)=H338,H338,"ERREUR"),IF(ISBLANK(H338),IF(ISBLANK(H339),T(H338),"ERREUR"),"ERREUR"))</f>
        <v/>
      </c>
      <c r="R338" s="38"/>
      <c r="S338" s="38"/>
      <c r="T338" s="38"/>
      <c r="U338" s="38"/>
      <c r="V338" s="38"/>
      <c r="W338" s="38"/>
      <c r="X338" s="53"/>
      <c r="Y338" s="42"/>
      <c r="Z338" s="42"/>
      <c r="AA338" s="42"/>
    </row>
    <row r="339" ht="13.75" customHeight="1">
      <c r="A339" s="14" t="s">
        <v>140</v>
      </c>
      <c r="B339" s="50"/>
      <c r="C339" s="43"/>
      <c r="D339" s="43"/>
      <c r="E339" s="44"/>
      <c r="F339" s="44"/>
      <c r="G339" s="44"/>
      <c r="H339" s="45"/>
      <c r="I339" s="54"/>
      <c r="J339" s="47" t="str">
        <f>IF(OR(K339="ERREUR",L339="ERREUR",M339="ERREUR",N339="ERREUR",O339="ERREUR",P339="ERREUR",Q339="ERREUR"),"ERREUR",IF(AND(K339="",L339="",M339="",N339="",O339="",P339="",Q339=""),"ligne vide",IF(OR(K339="",L339="",M339="",N339="",O339="",P339="",Q339=""),"ligne incomplète","Valide")))</f>
        <v xml:space="preserve">ligne vide</v>
      </c>
      <c r="K339" s="48" t="str">
        <f>IF(ISBLANK(B339),IF(ISBLANK(B340),T(B339),"ERREUR"),IF(ISNUMBER(B339),_xlfn.NUMBERVALUE(B339),IF(ISTEXT(B339),VALUE(B339),"ERREUR")))</f>
        <v/>
      </c>
      <c r="L339" s="38" t="str">
        <f>IF(COUNTIF($R$4:$R$6,C339)&gt;0,C339,IF(ISBLANK(C339),IF(ISBLANK(D339),T(C339),"ERREUR"),"ERREUR"))</f>
        <v/>
      </c>
      <c r="M339" s="49" t="str">
        <f>IF(ISBLANK(D339),IF(ISBLANK(D340),T(D339),"ERREUR"),IF(COUNTIF($T$4:$T$240,SUBSTITUTE(SUBSTITUTE(SUBSTITUTE(SUBSTITUTE(SUBSTITUTE(SUBSTITUTE(UPPER(D339),"Å","A"),"É","E"),"È","E"),"Ê","E"),"Î","I"),"Ï","I"))&gt;0,D339,IF(ISBLANK(D339),T(D339),"ERREUR")))</f>
        <v/>
      </c>
      <c r="N339" s="38" t="str">
        <f>IF(COUNTIF($V$4:$V$6,E339)&gt;0,E339,IF(ISBLANK(E339),IF(ISBLANK(E340),T(E339),"ERREUR"),"ERREUR"))</f>
        <v/>
      </c>
      <c r="O339" s="38" t="str">
        <f>IF(COUNTIF($W$4:$W$5,F339)&gt;0,F339,IF(ISBLANK(F339),IF(ISBLANK(F340),T(F339),"ERREUR"),"ERREUR"))</f>
        <v/>
      </c>
      <c r="P339" s="38" t="str">
        <f>IF(COUNTIF($X$4:$X$8,G339)&gt;0,G339,IF(ISBLANK(G339),IF(ISBLANK(G340),T(G339),"ERREUR"),"ERREUR"))</f>
        <v/>
      </c>
      <c r="Q339" s="38" t="str">
        <f>IF(ISNUMBER(H339),IF(INT(H339)=H339,H339,"ERREUR"),IF(ISBLANK(H339),IF(ISBLANK(H340),T(H339),"ERREUR"),"ERREUR"))</f>
        <v/>
      </c>
      <c r="R339" s="38"/>
      <c r="S339" s="38"/>
      <c r="T339" s="38"/>
      <c r="U339" s="38"/>
      <c r="V339" s="38"/>
      <c r="W339" s="38"/>
      <c r="X339" s="53"/>
      <c r="Y339" s="42"/>
      <c r="Z339" s="42"/>
      <c r="AA339" s="42"/>
    </row>
    <row r="340" ht="13.75" customHeight="1">
      <c r="A340" s="14" t="s">
        <v>140</v>
      </c>
      <c r="B340" s="50"/>
      <c r="C340" s="43"/>
      <c r="D340" s="43"/>
      <c r="E340" s="44"/>
      <c r="F340" s="44"/>
      <c r="G340" s="44"/>
      <c r="H340" s="45"/>
      <c r="I340" s="54"/>
      <c r="J340" s="47" t="str">
        <f>IF(OR(K340="ERREUR",L340="ERREUR",M340="ERREUR",N340="ERREUR",O340="ERREUR",P340="ERREUR",Q340="ERREUR"),"ERREUR",IF(AND(K340="",L340="",M340="",N340="",O340="",P340="",Q340=""),"ligne vide",IF(OR(K340="",L340="",M340="",N340="",O340="",P340="",Q340=""),"ligne incomplète","Valide")))</f>
        <v xml:space="preserve">ligne vide</v>
      </c>
      <c r="K340" s="48" t="str">
        <f>IF(ISBLANK(B340),IF(ISBLANK(B341),T(B340),"ERREUR"),IF(ISNUMBER(B340),_xlfn.NUMBERVALUE(B340),IF(ISTEXT(B340),VALUE(B340),"ERREUR")))</f>
        <v/>
      </c>
      <c r="L340" s="38" t="str">
        <f>IF(COUNTIF($R$4:$R$6,C340)&gt;0,C340,IF(ISBLANK(C340),IF(ISBLANK(D340),T(C340),"ERREUR"),"ERREUR"))</f>
        <v/>
      </c>
      <c r="M340" s="49" t="str">
        <f>IF(ISBLANK(D340),IF(ISBLANK(D341),T(D340),"ERREUR"),IF(COUNTIF($T$4:$T$240,SUBSTITUTE(SUBSTITUTE(SUBSTITUTE(SUBSTITUTE(SUBSTITUTE(SUBSTITUTE(UPPER(D340),"Å","A"),"É","E"),"È","E"),"Ê","E"),"Î","I"),"Ï","I"))&gt;0,D340,IF(ISBLANK(D340),T(D340),"ERREUR")))</f>
        <v/>
      </c>
      <c r="N340" s="38" t="str">
        <f>IF(COUNTIF($V$4:$V$6,E340)&gt;0,E340,IF(ISBLANK(E340),IF(ISBLANK(E341),T(E340),"ERREUR"),"ERREUR"))</f>
        <v/>
      </c>
      <c r="O340" s="38" t="str">
        <f>IF(COUNTIF($W$4:$W$5,F340)&gt;0,F340,IF(ISBLANK(F340),IF(ISBLANK(F341),T(F340),"ERREUR"),"ERREUR"))</f>
        <v/>
      </c>
      <c r="P340" s="38" t="str">
        <f>IF(COUNTIF($X$4:$X$8,G340)&gt;0,G340,IF(ISBLANK(G340),IF(ISBLANK(G341),T(G340),"ERREUR"),"ERREUR"))</f>
        <v/>
      </c>
      <c r="Q340" s="38" t="str">
        <f>IF(ISNUMBER(H340),IF(INT(H340)=H340,H340,"ERREUR"),IF(ISBLANK(H340),IF(ISBLANK(H341),T(H340),"ERREUR"),"ERREUR"))</f>
        <v/>
      </c>
      <c r="R340" s="38"/>
      <c r="S340" s="38"/>
      <c r="T340" s="38"/>
      <c r="U340" s="38"/>
      <c r="V340" s="38"/>
      <c r="W340" s="38"/>
      <c r="X340" s="53"/>
      <c r="Y340" s="42"/>
      <c r="Z340" s="42"/>
      <c r="AA340" s="42"/>
    </row>
    <row r="341" ht="13.75" customHeight="1">
      <c r="A341" s="14" t="s">
        <v>140</v>
      </c>
      <c r="B341" s="50"/>
      <c r="C341" s="43"/>
      <c r="D341" s="43"/>
      <c r="E341" s="44"/>
      <c r="F341" s="44"/>
      <c r="G341" s="44"/>
      <c r="H341" s="45"/>
      <c r="I341" s="54"/>
      <c r="J341" s="47" t="str">
        <f>IF(OR(K341="ERREUR",L341="ERREUR",M341="ERREUR",N341="ERREUR",O341="ERREUR",P341="ERREUR",Q341="ERREUR"),"ERREUR",IF(AND(K341="",L341="",M341="",N341="",O341="",P341="",Q341=""),"ligne vide",IF(OR(K341="",L341="",M341="",N341="",O341="",P341="",Q341=""),"ligne incomplète","Valide")))</f>
        <v xml:space="preserve">ligne vide</v>
      </c>
      <c r="K341" s="48" t="str">
        <f>IF(ISBLANK(B341),IF(ISBLANK(B342),T(B341),"ERREUR"),IF(ISNUMBER(B341),_xlfn.NUMBERVALUE(B341),IF(ISTEXT(B341),VALUE(B341),"ERREUR")))</f>
        <v/>
      </c>
      <c r="L341" s="38" t="str">
        <f>IF(COUNTIF($R$4:$R$6,C341)&gt;0,C341,IF(ISBLANK(C341),IF(ISBLANK(D341),T(C341),"ERREUR"),"ERREUR"))</f>
        <v/>
      </c>
      <c r="M341" s="49" t="str">
        <f>IF(ISBLANK(D341),IF(ISBLANK(D342),T(D341),"ERREUR"),IF(COUNTIF($T$4:$T$240,SUBSTITUTE(SUBSTITUTE(SUBSTITUTE(SUBSTITUTE(SUBSTITUTE(SUBSTITUTE(UPPER(D341),"Å","A"),"É","E"),"È","E"),"Ê","E"),"Î","I"),"Ï","I"))&gt;0,D341,IF(ISBLANK(D341),T(D341),"ERREUR")))</f>
        <v/>
      </c>
      <c r="N341" s="38" t="str">
        <f>IF(COUNTIF($V$4:$V$6,E341)&gt;0,E341,IF(ISBLANK(E341),IF(ISBLANK(E342),T(E341),"ERREUR"),"ERREUR"))</f>
        <v/>
      </c>
      <c r="O341" s="38" t="str">
        <f>IF(COUNTIF($W$4:$W$5,F341)&gt;0,F341,IF(ISBLANK(F341),IF(ISBLANK(F342),T(F341),"ERREUR"),"ERREUR"))</f>
        <v/>
      </c>
      <c r="P341" s="38" t="str">
        <f>IF(COUNTIF($X$4:$X$8,G341)&gt;0,G341,IF(ISBLANK(G341),IF(ISBLANK(G342),T(G341),"ERREUR"),"ERREUR"))</f>
        <v/>
      </c>
      <c r="Q341" s="38" t="str">
        <f>IF(ISNUMBER(H341),IF(INT(H341)=H341,H341,"ERREUR"),IF(ISBLANK(H341),IF(ISBLANK(H342),T(H341),"ERREUR"),"ERREUR"))</f>
        <v/>
      </c>
      <c r="R341" s="38"/>
      <c r="S341" s="38"/>
      <c r="T341" s="38"/>
      <c r="U341" s="38"/>
      <c r="V341" s="38"/>
      <c r="W341" s="38"/>
      <c r="X341" s="53"/>
      <c r="Y341" s="42"/>
      <c r="Z341" s="42"/>
      <c r="AA341" s="42"/>
    </row>
    <row r="342" ht="13.75" customHeight="1">
      <c r="A342" s="14" t="s">
        <v>140</v>
      </c>
      <c r="B342" s="50"/>
      <c r="C342" s="43"/>
      <c r="D342" s="43"/>
      <c r="E342" s="44"/>
      <c r="F342" s="44"/>
      <c r="G342" s="44"/>
      <c r="H342" s="45"/>
      <c r="I342" s="54"/>
      <c r="J342" s="47" t="str">
        <f>IF(OR(K342="ERREUR",L342="ERREUR",M342="ERREUR",N342="ERREUR",O342="ERREUR",P342="ERREUR",Q342="ERREUR"),"ERREUR",IF(AND(K342="",L342="",M342="",N342="",O342="",P342="",Q342=""),"ligne vide",IF(OR(K342="",L342="",M342="",N342="",O342="",P342="",Q342=""),"ligne incomplète","Valide")))</f>
        <v xml:space="preserve">ligne vide</v>
      </c>
      <c r="K342" s="48" t="str">
        <f>IF(ISBLANK(B342),IF(ISBLANK(B343),T(B342),"ERREUR"),IF(ISNUMBER(B342),_xlfn.NUMBERVALUE(B342),IF(ISTEXT(B342),VALUE(B342),"ERREUR")))</f>
        <v/>
      </c>
      <c r="L342" s="38" t="str">
        <f>IF(COUNTIF($R$4:$R$6,C342)&gt;0,C342,IF(ISBLANK(C342),IF(ISBLANK(D342),T(C342),"ERREUR"),"ERREUR"))</f>
        <v/>
      </c>
      <c r="M342" s="49" t="str">
        <f>IF(ISBLANK(D342),IF(ISBLANK(D343),T(D342),"ERREUR"),IF(COUNTIF($T$4:$T$240,SUBSTITUTE(SUBSTITUTE(SUBSTITUTE(SUBSTITUTE(SUBSTITUTE(SUBSTITUTE(UPPER(D342),"Å","A"),"É","E"),"È","E"),"Ê","E"),"Î","I"),"Ï","I"))&gt;0,D342,IF(ISBLANK(D342),T(D342),"ERREUR")))</f>
        <v/>
      </c>
      <c r="N342" s="38" t="str">
        <f>IF(COUNTIF($V$4:$V$6,E342)&gt;0,E342,IF(ISBLANK(E342),IF(ISBLANK(E343),T(E342),"ERREUR"),"ERREUR"))</f>
        <v/>
      </c>
      <c r="O342" s="38" t="str">
        <f>IF(COUNTIF($W$4:$W$5,F342)&gt;0,F342,IF(ISBLANK(F342),IF(ISBLANK(F343),T(F342),"ERREUR"),"ERREUR"))</f>
        <v/>
      </c>
      <c r="P342" s="38" t="str">
        <f>IF(COUNTIF($X$4:$X$8,G342)&gt;0,G342,IF(ISBLANK(G342),IF(ISBLANK(G343),T(G342),"ERREUR"),"ERREUR"))</f>
        <v/>
      </c>
      <c r="Q342" s="38" t="str">
        <f>IF(ISNUMBER(H342),IF(INT(H342)=H342,H342,"ERREUR"),IF(ISBLANK(H342),IF(ISBLANK(H343),T(H342),"ERREUR"),"ERREUR"))</f>
        <v/>
      </c>
      <c r="R342" s="38"/>
      <c r="S342" s="38"/>
      <c r="T342" s="38"/>
      <c r="U342" s="38"/>
      <c r="V342" s="38"/>
      <c r="W342" s="38"/>
      <c r="X342" s="53"/>
      <c r="Y342" s="42"/>
      <c r="Z342" s="42"/>
      <c r="AA342" s="42"/>
    </row>
    <row r="343" ht="13.75" customHeight="1">
      <c r="A343" s="14" t="s">
        <v>140</v>
      </c>
      <c r="B343" s="50"/>
      <c r="C343" s="43"/>
      <c r="D343" s="43"/>
      <c r="E343" s="44"/>
      <c r="F343" s="44"/>
      <c r="G343" s="44"/>
      <c r="H343" s="45"/>
      <c r="I343" s="54"/>
      <c r="J343" s="47" t="str">
        <f>IF(OR(K343="ERREUR",L343="ERREUR",M343="ERREUR",N343="ERREUR",O343="ERREUR",P343="ERREUR",Q343="ERREUR"),"ERREUR",IF(AND(K343="",L343="",M343="",N343="",O343="",P343="",Q343=""),"ligne vide",IF(OR(K343="",L343="",M343="",N343="",O343="",P343="",Q343=""),"ligne incomplète","Valide")))</f>
        <v xml:space="preserve">ligne vide</v>
      </c>
      <c r="K343" s="48" t="str">
        <f>IF(ISBLANK(B343),IF(ISBLANK(B344),T(B343),"ERREUR"),IF(ISNUMBER(B343),_xlfn.NUMBERVALUE(B343),IF(ISTEXT(B343),VALUE(B343),"ERREUR")))</f>
        <v/>
      </c>
      <c r="L343" s="38" t="str">
        <f>IF(COUNTIF($R$4:$R$6,C343)&gt;0,C343,IF(ISBLANK(C343),IF(ISBLANK(D343),T(C343),"ERREUR"),"ERREUR"))</f>
        <v/>
      </c>
      <c r="M343" s="49" t="str">
        <f>IF(ISBLANK(D343),IF(ISBLANK(D344),T(D343),"ERREUR"),IF(COUNTIF($T$4:$T$240,SUBSTITUTE(SUBSTITUTE(SUBSTITUTE(SUBSTITUTE(SUBSTITUTE(SUBSTITUTE(UPPER(D343),"Å","A"),"É","E"),"È","E"),"Ê","E"),"Î","I"),"Ï","I"))&gt;0,D343,IF(ISBLANK(D343),T(D343),"ERREUR")))</f>
        <v/>
      </c>
      <c r="N343" s="38" t="str">
        <f>IF(COUNTIF($V$4:$V$6,E343)&gt;0,E343,IF(ISBLANK(E343),IF(ISBLANK(E344),T(E343),"ERREUR"),"ERREUR"))</f>
        <v/>
      </c>
      <c r="O343" s="38" t="str">
        <f>IF(COUNTIF($W$4:$W$5,F343)&gt;0,F343,IF(ISBLANK(F343),IF(ISBLANK(F344),T(F343),"ERREUR"),"ERREUR"))</f>
        <v/>
      </c>
      <c r="P343" s="38" t="str">
        <f>IF(COUNTIF($X$4:$X$8,G343)&gt;0,G343,IF(ISBLANK(G343),IF(ISBLANK(G344),T(G343),"ERREUR"),"ERREUR"))</f>
        <v/>
      </c>
      <c r="Q343" s="38" t="str">
        <f>IF(ISNUMBER(H343),IF(INT(H343)=H343,H343,"ERREUR"),IF(ISBLANK(H343),IF(ISBLANK(H344),T(H343),"ERREUR"),"ERREUR"))</f>
        <v/>
      </c>
      <c r="R343" s="38"/>
      <c r="S343" s="38"/>
      <c r="T343" s="38"/>
      <c r="U343" s="38"/>
      <c r="V343" s="38"/>
      <c r="W343" s="38"/>
      <c r="X343" s="53"/>
      <c r="Y343" s="42"/>
      <c r="Z343" s="42"/>
      <c r="AA343" s="42"/>
    </row>
    <row r="344" ht="13.75" customHeight="1">
      <c r="A344" s="14" t="s">
        <v>140</v>
      </c>
      <c r="B344" s="50"/>
      <c r="C344" s="43"/>
      <c r="D344" s="43"/>
      <c r="E344" s="44"/>
      <c r="F344" s="44"/>
      <c r="G344" s="44"/>
      <c r="H344" s="45"/>
      <c r="I344" s="54"/>
      <c r="J344" s="47" t="str">
        <f>IF(OR(K344="ERREUR",L344="ERREUR",M344="ERREUR",N344="ERREUR",O344="ERREUR",P344="ERREUR",Q344="ERREUR"),"ERREUR",IF(AND(K344="",L344="",M344="",N344="",O344="",P344="",Q344=""),"ligne vide",IF(OR(K344="",L344="",M344="",N344="",O344="",P344="",Q344=""),"ligne incomplète","Valide")))</f>
        <v xml:space="preserve">ligne vide</v>
      </c>
      <c r="K344" s="48" t="str">
        <f>IF(ISBLANK(B344),IF(ISBLANK(B345),T(B344),"ERREUR"),IF(ISNUMBER(B344),_xlfn.NUMBERVALUE(B344),IF(ISTEXT(B344),VALUE(B344),"ERREUR")))</f>
        <v/>
      </c>
      <c r="L344" s="38" t="str">
        <f>IF(COUNTIF($R$4:$R$6,C344)&gt;0,C344,IF(ISBLANK(C344),IF(ISBLANK(D344),T(C344),"ERREUR"),"ERREUR"))</f>
        <v/>
      </c>
      <c r="M344" s="49" t="str">
        <f>IF(ISBLANK(D344),IF(ISBLANK(D345),T(D344),"ERREUR"),IF(COUNTIF($T$4:$T$240,SUBSTITUTE(SUBSTITUTE(SUBSTITUTE(SUBSTITUTE(SUBSTITUTE(SUBSTITUTE(UPPER(D344),"Å","A"),"É","E"),"È","E"),"Ê","E"),"Î","I"),"Ï","I"))&gt;0,D344,IF(ISBLANK(D344),T(D344),"ERREUR")))</f>
        <v/>
      </c>
      <c r="N344" s="38" t="str">
        <f>IF(COUNTIF($V$4:$V$6,E344)&gt;0,E344,IF(ISBLANK(E344),IF(ISBLANK(E345),T(E344),"ERREUR"),"ERREUR"))</f>
        <v/>
      </c>
      <c r="O344" s="38" t="str">
        <f>IF(COUNTIF($W$4:$W$5,F344)&gt;0,F344,IF(ISBLANK(F344),IF(ISBLANK(F345),T(F344),"ERREUR"),"ERREUR"))</f>
        <v/>
      </c>
      <c r="P344" s="38" t="str">
        <f>IF(COUNTIF($X$4:$X$8,G344)&gt;0,G344,IF(ISBLANK(G344),IF(ISBLANK(G345),T(G344),"ERREUR"),"ERREUR"))</f>
        <v/>
      </c>
      <c r="Q344" s="38" t="str">
        <f>IF(ISNUMBER(H344),IF(INT(H344)=H344,H344,"ERREUR"),IF(ISBLANK(H344),IF(ISBLANK(H345),T(H344),"ERREUR"),"ERREUR"))</f>
        <v/>
      </c>
      <c r="R344" s="38"/>
      <c r="S344" s="38"/>
      <c r="T344" s="38"/>
      <c r="U344" s="38"/>
      <c r="V344" s="38"/>
      <c r="W344" s="38"/>
      <c r="X344" s="53"/>
      <c r="Y344" s="42"/>
      <c r="Z344" s="42"/>
      <c r="AA344" s="42"/>
    </row>
    <row r="345" ht="13.75" customHeight="1">
      <c r="A345" s="14" t="s">
        <v>140</v>
      </c>
      <c r="B345" s="50"/>
      <c r="C345" s="43"/>
      <c r="D345" s="43"/>
      <c r="E345" s="44"/>
      <c r="F345" s="44"/>
      <c r="G345" s="44"/>
      <c r="H345" s="45"/>
      <c r="I345" s="54"/>
      <c r="J345" s="47" t="str">
        <f>IF(OR(K345="ERREUR",L345="ERREUR",M345="ERREUR",N345="ERREUR",O345="ERREUR",P345="ERREUR",Q345="ERREUR"),"ERREUR",IF(AND(K345="",L345="",M345="",N345="",O345="",P345="",Q345=""),"ligne vide",IF(OR(K345="",L345="",M345="",N345="",O345="",P345="",Q345=""),"ligne incomplète","Valide")))</f>
        <v xml:space="preserve">ligne vide</v>
      </c>
      <c r="K345" s="48" t="str">
        <f>IF(ISBLANK(B345),IF(ISBLANK(B346),T(B345),"ERREUR"),IF(ISNUMBER(B345),_xlfn.NUMBERVALUE(B345),IF(ISTEXT(B345),VALUE(B345),"ERREUR")))</f>
        <v/>
      </c>
      <c r="L345" s="38" t="str">
        <f>IF(COUNTIF($R$4:$R$6,C345)&gt;0,C345,IF(ISBLANK(C345),IF(ISBLANK(D345),T(C345),"ERREUR"),"ERREUR"))</f>
        <v/>
      </c>
      <c r="M345" s="49" t="str">
        <f>IF(ISBLANK(D345),IF(ISBLANK(D346),T(D345),"ERREUR"),IF(COUNTIF($T$4:$T$240,SUBSTITUTE(SUBSTITUTE(SUBSTITUTE(SUBSTITUTE(SUBSTITUTE(SUBSTITUTE(UPPER(D345),"Å","A"),"É","E"),"È","E"),"Ê","E"),"Î","I"),"Ï","I"))&gt;0,D345,IF(ISBLANK(D345),T(D345),"ERREUR")))</f>
        <v/>
      </c>
      <c r="N345" s="38" t="str">
        <f>IF(COUNTIF($V$4:$V$6,E345)&gt;0,E345,IF(ISBLANK(E345),IF(ISBLANK(E346),T(E345),"ERREUR"),"ERREUR"))</f>
        <v/>
      </c>
      <c r="O345" s="38" t="str">
        <f>IF(COUNTIF($W$4:$W$5,F345)&gt;0,F345,IF(ISBLANK(F345),IF(ISBLANK(F346),T(F345),"ERREUR"),"ERREUR"))</f>
        <v/>
      </c>
      <c r="P345" s="38" t="str">
        <f>IF(COUNTIF($X$4:$X$8,G345)&gt;0,G345,IF(ISBLANK(G345),IF(ISBLANK(G346),T(G345),"ERREUR"),"ERREUR"))</f>
        <v/>
      </c>
      <c r="Q345" s="38" t="str">
        <f>IF(ISNUMBER(H345),IF(INT(H345)=H345,H345,"ERREUR"),IF(ISBLANK(H345),IF(ISBLANK(H346),T(H345),"ERREUR"),"ERREUR"))</f>
        <v/>
      </c>
      <c r="R345" s="38"/>
      <c r="S345" s="38"/>
      <c r="T345" s="38"/>
      <c r="U345" s="38"/>
      <c r="V345" s="38"/>
      <c r="W345" s="38"/>
      <c r="X345" s="53"/>
      <c r="Y345" s="42"/>
      <c r="Z345" s="42"/>
      <c r="AA345" s="42"/>
    </row>
    <row r="346" ht="13.75" customHeight="1">
      <c r="A346" s="14" t="s">
        <v>140</v>
      </c>
      <c r="B346" s="50"/>
      <c r="C346" s="43"/>
      <c r="D346" s="43"/>
      <c r="E346" s="44"/>
      <c r="F346" s="44"/>
      <c r="G346" s="44"/>
      <c r="H346" s="45"/>
      <c r="I346" s="54"/>
      <c r="J346" s="47" t="str">
        <f>IF(OR(K346="ERREUR",L346="ERREUR",M346="ERREUR",N346="ERREUR",O346="ERREUR",P346="ERREUR",Q346="ERREUR"),"ERREUR",IF(AND(K346="",L346="",M346="",N346="",O346="",P346="",Q346=""),"ligne vide",IF(OR(K346="",L346="",M346="",N346="",O346="",P346="",Q346=""),"ligne incomplète","Valide")))</f>
        <v xml:space="preserve">ligne vide</v>
      </c>
      <c r="K346" s="48" t="str">
        <f>IF(ISBLANK(B346),IF(ISBLANK(B347),T(B346),"ERREUR"),IF(ISNUMBER(B346),_xlfn.NUMBERVALUE(B346),IF(ISTEXT(B346),VALUE(B346),"ERREUR")))</f>
        <v/>
      </c>
      <c r="L346" s="38" t="str">
        <f>IF(COUNTIF($R$4:$R$6,C346)&gt;0,C346,IF(ISBLANK(C346),IF(ISBLANK(D346),T(C346),"ERREUR"),"ERREUR"))</f>
        <v/>
      </c>
      <c r="M346" s="49" t="str">
        <f>IF(ISBLANK(D346),IF(ISBLANK(D347),T(D346),"ERREUR"),IF(COUNTIF($T$4:$T$240,SUBSTITUTE(SUBSTITUTE(SUBSTITUTE(SUBSTITUTE(SUBSTITUTE(SUBSTITUTE(UPPER(D346),"Å","A"),"É","E"),"È","E"),"Ê","E"),"Î","I"),"Ï","I"))&gt;0,D346,IF(ISBLANK(D346),T(D346),"ERREUR")))</f>
        <v/>
      </c>
      <c r="N346" s="38" t="str">
        <f>IF(COUNTIF($V$4:$V$6,E346)&gt;0,E346,IF(ISBLANK(E346),IF(ISBLANK(E347),T(E346),"ERREUR"),"ERREUR"))</f>
        <v/>
      </c>
      <c r="O346" s="38" t="str">
        <f>IF(COUNTIF($W$4:$W$5,F346)&gt;0,F346,IF(ISBLANK(F346),IF(ISBLANK(F347),T(F346),"ERREUR"),"ERREUR"))</f>
        <v/>
      </c>
      <c r="P346" s="38" t="str">
        <f>IF(COUNTIF($X$4:$X$8,G346)&gt;0,G346,IF(ISBLANK(G346),IF(ISBLANK(G347),T(G346),"ERREUR"),"ERREUR"))</f>
        <v/>
      </c>
      <c r="Q346" s="38" t="str">
        <f>IF(ISNUMBER(H346),IF(INT(H346)=H346,H346,"ERREUR"),IF(ISBLANK(H346),IF(ISBLANK(H347),T(H346),"ERREUR"),"ERREUR"))</f>
        <v/>
      </c>
      <c r="R346" s="38"/>
      <c r="S346" s="38"/>
      <c r="T346" s="38"/>
      <c r="U346" s="38"/>
      <c r="V346" s="38"/>
      <c r="W346" s="38"/>
      <c r="X346" s="53"/>
      <c r="Y346" s="42"/>
      <c r="Z346" s="42"/>
      <c r="AA346" s="42"/>
    </row>
    <row r="347" ht="13.75" customHeight="1">
      <c r="A347" s="14" t="s">
        <v>140</v>
      </c>
      <c r="B347" s="50"/>
      <c r="C347" s="43"/>
      <c r="D347" s="43"/>
      <c r="E347" s="44"/>
      <c r="F347" s="44"/>
      <c r="G347" s="44"/>
      <c r="H347" s="45"/>
      <c r="I347" s="54"/>
      <c r="J347" s="47" t="str">
        <f>IF(OR(K347="ERREUR",L347="ERREUR",M347="ERREUR",N347="ERREUR",O347="ERREUR",P347="ERREUR",Q347="ERREUR"),"ERREUR",IF(AND(K347="",L347="",M347="",N347="",O347="",P347="",Q347=""),"ligne vide",IF(OR(K347="",L347="",M347="",N347="",O347="",P347="",Q347=""),"ligne incomplète","Valide")))</f>
        <v xml:space="preserve">ligne vide</v>
      </c>
      <c r="K347" s="48" t="str">
        <f>IF(ISBLANK(B347),IF(ISBLANK(B348),T(B347),"ERREUR"),IF(ISNUMBER(B347),_xlfn.NUMBERVALUE(B347),IF(ISTEXT(B347),VALUE(B347),"ERREUR")))</f>
        <v/>
      </c>
      <c r="L347" s="38" t="str">
        <f>IF(COUNTIF($R$4:$R$6,C347)&gt;0,C347,IF(ISBLANK(C347),IF(ISBLANK(D347),T(C347),"ERREUR"),"ERREUR"))</f>
        <v/>
      </c>
      <c r="M347" s="49" t="str">
        <f>IF(ISBLANK(D347),IF(ISBLANK(D348),T(D347),"ERREUR"),IF(COUNTIF($T$4:$T$240,SUBSTITUTE(SUBSTITUTE(SUBSTITUTE(SUBSTITUTE(SUBSTITUTE(SUBSTITUTE(UPPER(D347),"Å","A"),"É","E"),"È","E"),"Ê","E"),"Î","I"),"Ï","I"))&gt;0,D347,IF(ISBLANK(D347),T(D347),"ERREUR")))</f>
        <v/>
      </c>
      <c r="N347" s="38" t="str">
        <f>IF(COUNTIF($V$4:$V$6,E347)&gt;0,E347,IF(ISBLANK(E347),IF(ISBLANK(E348),T(E347),"ERREUR"),"ERREUR"))</f>
        <v/>
      </c>
      <c r="O347" s="38" t="str">
        <f>IF(COUNTIF($W$4:$W$5,F347)&gt;0,F347,IF(ISBLANK(F347),IF(ISBLANK(F348),T(F347),"ERREUR"),"ERREUR"))</f>
        <v/>
      </c>
      <c r="P347" s="38" t="str">
        <f>IF(COUNTIF($X$4:$X$8,G347)&gt;0,G347,IF(ISBLANK(G347),IF(ISBLANK(G348),T(G347),"ERREUR"),"ERREUR"))</f>
        <v/>
      </c>
      <c r="Q347" s="38" t="str">
        <f>IF(ISNUMBER(H347),IF(INT(H347)=H347,H347,"ERREUR"),IF(ISBLANK(H347),IF(ISBLANK(H348),T(H347),"ERREUR"),"ERREUR"))</f>
        <v/>
      </c>
      <c r="R347" s="38"/>
      <c r="S347" s="38"/>
      <c r="T347" s="38"/>
      <c r="U347" s="38"/>
      <c r="V347" s="38"/>
      <c r="W347" s="38"/>
      <c r="X347" s="53"/>
      <c r="Y347" s="42"/>
      <c r="Z347" s="42"/>
      <c r="AA347" s="42"/>
    </row>
    <row r="348" ht="13.75" customHeight="1">
      <c r="A348" s="14" t="s">
        <v>140</v>
      </c>
      <c r="B348" s="50"/>
      <c r="C348" s="43"/>
      <c r="D348" s="43"/>
      <c r="E348" s="44"/>
      <c r="F348" s="44"/>
      <c r="G348" s="44"/>
      <c r="H348" s="45"/>
      <c r="I348" s="54"/>
      <c r="J348" s="47" t="str">
        <f>IF(OR(K348="ERREUR",L348="ERREUR",M348="ERREUR",N348="ERREUR",O348="ERREUR",P348="ERREUR",Q348="ERREUR"),"ERREUR",IF(AND(K348="",L348="",M348="",N348="",O348="",P348="",Q348=""),"ligne vide",IF(OR(K348="",L348="",M348="",N348="",O348="",P348="",Q348=""),"ligne incomplète","Valide")))</f>
        <v xml:space="preserve">ligne vide</v>
      </c>
      <c r="K348" s="48" t="str">
        <f>IF(ISBLANK(B348),IF(ISBLANK(B349),T(B348),"ERREUR"),IF(ISNUMBER(B348),_xlfn.NUMBERVALUE(B348),IF(ISTEXT(B348),VALUE(B348),"ERREUR")))</f>
        <v/>
      </c>
      <c r="L348" s="38" t="str">
        <f>IF(COUNTIF($R$4:$R$6,C348)&gt;0,C348,IF(ISBLANK(C348),IF(ISBLANK(D348),T(C348),"ERREUR"),"ERREUR"))</f>
        <v/>
      </c>
      <c r="M348" s="49" t="str">
        <f>IF(ISBLANK(D348),IF(ISBLANK(D349),T(D348),"ERREUR"),IF(COUNTIF($T$4:$T$240,SUBSTITUTE(SUBSTITUTE(SUBSTITUTE(SUBSTITUTE(SUBSTITUTE(SUBSTITUTE(UPPER(D348),"Å","A"),"É","E"),"È","E"),"Ê","E"),"Î","I"),"Ï","I"))&gt;0,D348,IF(ISBLANK(D348),T(D348),"ERREUR")))</f>
        <v/>
      </c>
      <c r="N348" s="38" t="str">
        <f>IF(COUNTIF($V$4:$V$6,E348)&gt;0,E348,IF(ISBLANK(E348),IF(ISBLANK(E349),T(E348),"ERREUR"),"ERREUR"))</f>
        <v/>
      </c>
      <c r="O348" s="38" t="str">
        <f>IF(COUNTIF($W$4:$W$5,F348)&gt;0,F348,IF(ISBLANK(F348),IF(ISBLANK(F349),T(F348),"ERREUR"),"ERREUR"))</f>
        <v/>
      </c>
      <c r="P348" s="38" t="str">
        <f>IF(COUNTIF($X$4:$X$8,G348)&gt;0,G348,IF(ISBLANK(G348),IF(ISBLANK(G349),T(G348),"ERREUR"),"ERREUR"))</f>
        <v/>
      </c>
      <c r="Q348" s="38" t="str">
        <f>IF(ISNUMBER(H348),IF(INT(H348)=H348,H348,"ERREUR"),IF(ISBLANK(H348),IF(ISBLANK(H349),T(H348),"ERREUR"),"ERREUR"))</f>
        <v/>
      </c>
      <c r="R348" s="38"/>
      <c r="S348" s="38"/>
      <c r="T348" s="38"/>
      <c r="U348" s="38"/>
      <c r="V348" s="38"/>
      <c r="W348" s="38"/>
      <c r="X348" s="53"/>
      <c r="Y348" s="42"/>
      <c r="Z348" s="42"/>
      <c r="AA348" s="42"/>
    </row>
    <row r="349" ht="13.75" customHeight="1">
      <c r="A349" s="14" t="s">
        <v>140</v>
      </c>
      <c r="B349" s="50"/>
      <c r="C349" s="43"/>
      <c r="D349" s="43"/>
      <c r="E349" s="44"/>
      <c r="F349" s="44"/>
      <c r="G349" s="44"/>
      <c r="H349" s="45"/>
      <c r="I349" s="54"/>
      <c r="J349" s="47" t="str">
        <f>IF(OR(K349="ERREUR",L349="ERREUR",M349="ERREUR",N349="ERREUR",O349="ERREUR",P349="ERREUR",Q349="ERREUR"),"ERREUR",IF(AND(K349="",L349="",M349="",N349="",O349="",P349="",Q349=""),"ligne vide",IF(OR(K349="",L349="",M349="",N349="",O349="",P349="",Q349=""),"ligne incomplète","Valide")))</f>
        <v xml:space="preserve">ligne vide</v>
      </c>
      <c r="K349" s="48" t="str">
        <f>IF(ISBLANK(B349),IF(ISBLANK(B350),T(B349),"ERREUR"),IF(ISNUMBER(B349),_xlfn.NUMBERVALUE(B349),IF(ISTEXT(B349),VALUE(B349),"ERREUR")))</f>
        <v/>
      </c>
      <c r="L349" s="38" t="str">
        <f>IF(COUNTIF($R$4:$R$6,C349)&gt;0,C349,IF(ISBLANK(C349),IF(ISBLANK(D349),T(C349),"ERREUR"),"ERREUR"))</f>
        <v/>
      </c>
      <c r="M349" s="49" t="str">
        <f>IF(ISBLANK(D349),IF(ISBLANK(D350),T(D349),"ERREUR"),IF(COUNTIF($T$4:$T$240,SUBSTITUTE(SUBSTITUTE(SUBSTITUTE(SUBSTITUTE(SUBSTITUTE(SUBSTITUTE(UPPER(D349),"Å","A"),"É","E"),"È","E"),"Ê","E"),"Î","I"),"Ï","I"))&gt;0,D349,IF(ISBLANK(D349),T(D349),"ERREUR")))</f>
        <v/>
      </c>
      <c r="N349" s="38" t="str">
        <f>IF(COUNTIF($V$4:$V$6,E349)&gt;0,E349,IF(ISBLANK(E349),IF(ISBLANK(E350),T(E349),"ERREUR"),"ERREUR"))</f>
        <v/>
      </c>
      <c r="O349" s="38" t="str">
        <f>IF(COUNTIF($W$4:$W$5,F349)&gt;0,F349,IF(ISBLANK(F349),IF(ISBLANK(F350),T(F349),"ERREUR"),"ERREUR"))</f>
        <v/>
      </c>
      <c r="P349" s="38" t="str">
        <f>IF(COUNTIF($X$4:$X$8,G349)&gt;0,G349,IF(ISBLANK(G349),IF(ISBLANK(G350),T(G349),"ERREUR"),"ERREUR"))</f>
        <v/>
      </c>
      <c r="Q349" s="38" t="str">
        <f>IF(ISNUMBER(H349),IF(INT(H349)=H349,H349,"ERREUR"),IF(ISBLANK(H349),IF(ISBLANK(H350),T(H349),"ERREUR"),"ERREUR"))</f>
        <v/>
      </c>
      <c r="R349" s="38"/>
      <c r="S349" s="38"/>
      <c r="T349" s="38"/>
      <c r="U349" s="38"/>
      <c r="V349" s="38"/>
      <c r="W349" s="38"/>
      <c r="X349" s="53"/>
      <c r="Y349" s="42"/>
      <c r="Z349" s="42"/>
      <c r="AA349" s="42"/>
    </row>
    <row r="350" ht="13.75" customHeight="1">
      <c r="A350" s="14" t="s">
        <v>140</v>
      </c>
      <c r="B350" s="50"/>
      <c r="C350" s="43"/>
      <c r="D350" s="43"/>
      <c r="E350" s="44"/>
      <c r="F350" s="44"/>
      <c r="G350" s="44"/>
      <c r="H350" s="45"/>
      <c r="I350" s="54"/>
      <c r="J350" s="47" t="str">
        <f>IF(OR(K350="ERREUR",L350="ERREUR",M350="ERREUR",N350="ERREUR",O350="ERREUR",P350="ERREUR",Q350="ERREUR"),"ERREUR",IF(AND(K350="",L350="",M350="",N350="",O350="",P350="",Q350=""),"ligne vide",IF(OR(K350="",L350="",M350="",N350="",O350="",P350="",Q350=""),"ligne incomplète","Valide")))</f>
        <v xml:space="preserve">ligne vide</v>
      </c>
      <c r="K350" s="48" t="str">
        <f>IF(ISBLANK(B350),IF(ISBLANK(B351),T(B350),"ERREUR"),IF(ISNUMBER(B350),_xlfn.NUMBERVALUE(B350),IF(ISTEXT(B350),VALUE(B350),"ERREUR")))</f>
        <v/>
      </c>
      <c r="L350" s="38" t="str">
        <f>IF(COUNTIF($R$4:$R$6,C350)&gt;0,C350,IF(ISBLANK(C350),IF(ISBLANK(D350),T(C350),"ERREUR"),"ERREUR"))</f>
        <v/>
      </c>
      <c r="M350" s="49" t="str">
        <f>IF(ISBLANK(D350),IF(ISBLANK(D351),T(D350),"ERREUR"),IF(COUNTIF($T$4:$T$240,SUBSTITUTE(SUBSTITUTE(SUBSTITUTE(SUBSTITUTE(SUBSTITUTE(SUBSTITUTE(UPPER(D350),"Å","A"),"É","E"),"È","E"),"Ê","E"),"Î","I"),"Ï","I"))&gt;0,D350,IF(ISBLANK(D350),T(D350),"ERREUR")))</f>
        <v/>
      </c>
      <c r="N350" s="38" t="str">
        <f>IF(COUNTIF($V$4:$V$6,E350)&gt;0,E350,IF(ISBLANK(E350),IF(ISBLANK(E351),T(E350),"ERREUR"),"ERREUR"))</f>
        <v/>
      </c>
      <c r="O350" s="38" t="str">
        <f>IF(COUNTIF($W$4:$W$5,F350)&gt;0,F350,IF(ISBLANK(F350),IF(ISBLANK(F351),T(F350),"ERREUR"),"ERREUR"))</f>
        <v/>
      </c>
      <c r="P350" s="38" t="str">
        <f>IF(COUNTIF($X$4:$X$8,G350)&gt;0,G350,IF(ISBLANK(G350),IF(ISBLANK(G351),T(G350),"ERREUR"),"ERREUR"))</f>
        <v/>
      </c>
      <c r="Q350" s="38" t="str">
        <f>IF(ISNUMBER(H350),IF(INT(H350)=H350,H350,"ERREUR"),IF(ISBLANK(H350),IF(ISBLANK(H351),T(H350),"ERREUR"),"ERREUR"))</f>
        <v/>
      </c>
      <c r="R350" s="38"/>
      <c r="S350" s="38"/>
      <c r="T350" s="38"/>
      <c r="U350" s="38"/>
      <c r="V350" s="38"/>
      <c r="W350" s="38"/>
      <c r="X350" s="53"/>
      <c r="Y350" s="42"/>
      <c r="Z350" s="42"/>
      <c r="AA350" s="42"/>
    </row>
    <row r="351" ht="13.75" customHeight="1">
      <c r="A351" s="14" t="s">
        <v>140</v>
      </c>
      <c r="B351" s="50"/>
      <c r="C351" s="43"/>
      <c r="D351" s="43"/>
      <c r="E351" s="44"/>
      <c r="F351" s="44"/>
      <c r="G351" s="44"/>
      <c r="H351" s="45"/>
      <c r="I351" s="54"/>
      <c r="J351" s="47" t="str">
        <f>IF(OR(K351="ERREUR",L351="ERREUR",M351="ERREUR",N351="ERREUR",O351="ERREUR",P351="ERREUR",Q351="ERREUR"),"ERREUR",IF(AND(K351="",L351="",M351="",N351="",O351="",P351="",Q351=""),"ligne vide",IF(OR(K351="",L351="",M351="",N351="",O351="",P351="",Q351=""),"ligne incomplète","Valide")))</f>
        <v xml:space="preserve">ligne vide</v>
      </c>
      <c r="K351" s="48" t="str">
        <f>IF(ISBLANK(B351),IF(ISBLANK(B352),T(B351),"ERREUR"),IF(ISNUMBER(B351),_xlfn.NUMBERVALUE(B351),IF(ISTEXT(B351),VALUE(B351),"ERREUR")))</f>
        <v/>
      </c>
      <c r="L351" s="38" t="str">
        <f>IF(COUNTIF($R$4:$R$6,C351)&gt;0,C351,IF(ISBLANK(C351),IF(ISBLANK(D351),T(C351),"ERREUR"),"ERREUR"))</f>
        <v/>
      </c>
      <c r="M351" s="49" t="str">
        <f>IF(ISBLANK(D351),IF(ISBLANK(D352),T(D351),"ERREUR"),IF(COUNTIF($T$4:$T$240,SUBSTITUTE(SUBSTITUTE(SUBSTITUTE(SUBSTITUTE(SUBSTITUTE(SUBSTITUTE(UPPER(D351),"Å","A"),"É","E"),"È","E"),"Ê","E"),"Î","I"),"Ï","I"))&gt;0,D351,IF(ISBLANK(D351),T(D351),"ERREUR")))</f>
        <v/>
      </c>
      <c r="N351" s="38" t="str">
        <f>IF(COUNTIF($V$4:$V$6,E351)&gt;0,E351,IF(ISBLANK(E351),IF(ISBLANK(E352),T(E351),"ERREUR"),"ERREUR"))</f>
        <v/>
      </c>
      <c r="O351" s="38" t="str">
        <f>IF(COUNTIF($W$4:$W$5,F351)&gt;0,F351,IF(ISBLANK(F351),IF(ISBLANK(F352),T(F351),"ERREUR"),"ERREUR"))</f>
        <v/>
      </c>
      <c r="P351" s="38" t="str">
        <f>IF(COUNTIF($X$4:$X$8,G351)&gt;0,G351,IF(ISBLANK(G351),IF(ISBLANK(G352),T(G351),"ERREUR"),"ERREUR"))</f>
        <v/>
      </c>
      <c r="Q351" s="38" t="str">
        <f>IF(ISNUMBER(H351),IF(INT(H351)=H351,H351,"ERREUR"),IF(ISBLANK(H351),IF(ISBLANK(H352),T(H351),"ERREUR"),"ERREUR"))</f>
        <v/>
      </c>
      <c r="R351" s="38"/>
      <c r="S351" s="38"/>
      <c r="T351" s="38"/>
      <c r="U351" s="38"/>
      <c r="V351" s="38"/>
      <c r="W351" s="38"/>
      <c r="X351" s="53"/>
      <c r="Y351" s="42"/>
      <c r="Z351" s="42"/>
      <c r="AA351" s="42"/>
    </row>
    <row r="352" ht="13.75" customHeight="1">
      <c r="A352" s="14" t="s">
        <v>140</v>
      </c>
      <c r="B352" s="50"/>
      <c r="C352" s="43"/>
      <c r="D352" s="43"/>
      <c r="E352" s="44"/>
      <c r="F352" s="44"/>
      <c r="G352" s="44"/>
      <c r="H352" s="45"/>
      <c r="I352" s="54"/>
      <c r="J352" s="47" t="str">
        <f>IF(OR(K352="ERREUR",L352="ERREUR",M352="ERREUR",N352="ERREUR",O352="ERREUR",P352="ERREUR",Q352="ERREUR"),"ERREUR",IF(AND(K352="",L352="",M352="",N352="",O352="",P352="",Q352=""),"ligne vide",IF(OR(K352="",L352="",M352="",N352="",O352="",P352="",Q352=""),"ligne incomplète","Valide")))</f>
        <v xml:space="preserve">ligne vide</v>
      </c>
      <c r="K352" s="48" t="str">
        <f>IF(ISBLANK(B352),IF(ISBLANK(B353),T(B352),"ERREUR"),IF(ISNUMBER(B352),_xlfn.NUMBERVALUE(B352),IF(ISTEXT(B352),VALUE(B352),"ERREUR")))</f>
        <v/>
      </c>
      <c r="L352" s="38" t="str">
        <f>IF(COUNTIF($R$4:$R$6,C352)&gt;0,C352,IF(ISBLANK(C352),IF(ISBLANK(D352),T(C352),"ERREUR"),"ERREUR"))</f>
        <v/>
      </c>
      <c r="M352" s="49" t="str">
        <f>IF(ISBLANK(D352),IF(ISBLANK(D353),T(D352),"ERREUR"),IF(COUNTIF($T$4:$T$240,SUBSTITUTE(SUBSTITUTE(SUBSTITUTE(SUBSTITUTE(SUBSTITUTE(SUBSTITUTE(UPPER(D352),"Å","A"),"É","E"),"È","E"),"Ê","E"),"Î","I"),"Ï","I"))&gt;0,D352,IF(ISBLANK(D352),T(D352),"ERREUR")))</f>
        <v/>
      </c>
      <c r="N352" s="38" t="str">
        <f>IF(COUNTIF($V$4:$V$6,E352)&gt;0,E352,IF(ISBLANK(E352),IF(ISBLANK(E353),T(E352),"ERREUR"),"ERREUR"))</f>
        <v/>
      </c>
      <c r="O352" s="38" t="str">
        <f>IF(COUNTIF($W$4:$W$5,F352)&gt;0,F352,IF(ISBLANK(F352),IF(ISBLANK(F353),T(F352),"ERREUR"),"ERREUR"))</f>
        <v/>
      </c>
      <c r="P352" s="38" t="str">
        <f>IF(COUNTIF($X$4:$X$8,G352)&gt;0,G352,IF(ISBLANK(G352),IF(ISBLANK(G353),T(G352),"ERREUR"),"ERREUR"))</f>
        <v/>
      </c>
      <c r="Q352" s="38" t="str">
        <f>IF(ISNUMBER(H352),IF(INT(H352)=H352,H352,"ERREUR"),IF(ISBLANK(H352),IF(ISBLANK(H353),T(H352),"ERREUR"),"ERREUR"))</f>
        <v/>
      </c>
      <c r="R352" s="38"/>
      <c r="S352" s="38"/>
      <c r="T352" s="38"/>
      <c r="U352" s="38"/>
      <c r="V352" s="38"/>
      <c r="W352" s="38"/>
      <c r="X352" s="53"/>
      <c r="Y352" s="42"/>
      <c r="Z352" s="42"/>
      <c r="AA352" s="42"/>
    </row>
    <row r="353" ht="13.75" customHeight="1">
      <c r="A353" s="14" t="s">
        <v>140</v>
      </c>
      <c r="B353" s="50"/>
      <c r="C353" s="43"/>
      <c r="D353" s="43"/>
      <c r="E353" s="44"/>
      <c r="F353" s="44"/>
      <c r="G353" s="44"/>
      <c r="H353" s="45"/>
      <c r="I353" s="54"/>
      <c r="J353" s="47" t="str">
        <f>IF(OR(K353="ERREUR",L353="ERREUR",M353="ERREUR",N353="ERREUR",O353="ERREUR",P353="ERREUR",Q353="ERREUR"),"ERREUR",IF(AND(K353="",L353="",M353="",N353="",O353="",P353="",Q353=""),"ligne vide",IF(OR(K353="",L353="",M353="",N353="",O353="",P353="",Q353=""),"ligne incomplète","Valide")))</f>
        <v xml:space="preserve">ligne vide</v>
      </c>
      <c r="K353" s="48" t="str">
        <f>IF(ISBLANK(B353),IF(ISBLANK(B354),T(B353),"ERREUR"),IF(ISNUMBER(B353),_xlfn.NUMBERVALUE(B353),IF(ISTEXT(B353),VALUE(B353),"ERREUR")))</f>
        <v/>
      </c>
      <c r="L353" s="38" t="str">
        <f>IF(COUNTIF($R$4:$R$6,C353)&gt;0,C353,IF(ISBLANK(C353),IF(ISBLANK(D353),T(C353),"ERREUR"),"ERREUR"))</f>
        <v/>
      </c>
      <c r="M353" s="49" t="str">
        <f>IF(ISBLANK(D353),IF(ISBLANK(D354),T(D353),"ERREUR"),IF(COUNTIF($T$4:$T$240,SUBSTITUTE(SUBSTITUTE(SUBSTITUTE(SUBSTITUTE(SUBSTITUTE(SUBSTITUTE(UPPER(D353),"Å","A"),"É","E"),"È","E"),"Ê","E"),"Î","I"),"Ï","I"))&gt;0,D353,IF(ISBLANK(D353),T(D353),"ERREUR")))</f>
        <v/>
      </c>
      <c r="N353" s="38" t="str">
        <f>IF(COUNTIF($V$4:$V$6,E353)&gt;0,E353,IF(ISBLANK(E353),IF(ISBLANK(E354),T(E353),"ERREUR"),"ERREUR"))</f>
        <v/>
      </c>
      <c r="O353" s="38" t="str">
        <f>IF(COUNTIF($W$4:$W$5,F353)&gt;0,F353,IF(ISBLANK(F353),IF(ISBLANK(F354),T(F353),"ERREUR"),"ERREUR"))</f>
        <v/>
      </c>
      <c r="P353" s="38" t="str">
        <f>IF(COUNTIF($X$4:$X$8,G353)&gt;0,G353,IF(ISBLANK(G353),IF(ISBLANK(G354),T(G353),"ERREUR"),"ERREUR"))</f>
        <v/>
      </c>
      <c r="Q353" s="38" t="str">
        <f>IF(ISNUMBER(H353),IF(INT(H353)=H353,H353,"ERREUR"),IF(ISBLANK(H353),IF(ISBLANK(H354),T(H353),"ERREUR"),"ERREUR"))</f>
        <v/>
      </c>
      <c r="R353" s="38"/>
      <c r="S353" s="38"/>
      <c r="T353" s="38"/>
      <c r="U353" s="38"/>
      <c r="V353" s="38"/>
      <c r="W353" s="38"/>
      <c r="X353" s="53"/>
      <c r="Y353" s="42"/>
      <c r="Z353" s="42"/>
      <c r="AA353" s="42"/>
    </row>
    <row r="354" ht="13.75" customHeight="1">
      <c r="A354" s="14" t="s">
        <v>140</v>
      </c>
      <c r="B354" s="50"/>
      <c r="C354" s="43"/>
      <c r="D354" s="43"/>
      <c r="E354" s="44"/>
      <c r="F354" s="44"/>
      <c r="G354" s="44"/>
      <c r="H354" s="45"/>
      <c r="I354" s="54"/>
      <c r="J354" s="47" t="str">
        <f>IF(OR(K354="ERREUR",L354="ERREUR",M354="ERREUR",N354="ERREUR",O354="ERREUR",P354="ERREUR",Q354="ERREUR"),"ERREUR",IF(AND(K354="",L354="",M354="",N354="",O354="",P354="",Q354=""),"ligne vide",IF(OR(K354="",L354="",M354="",N354="",O354="",P354="",Q354=""),"ligne incomplète","Valide")))</f>
        <v xml:space="preserve">ligne vide</v>
      </c>
      <c r="K354" s="48" t="str">
        <f>IF(ISBLANK(B354),IF(ISBLANK(B355),T(B354),"ERREUR"),IF(ISNUMBER(B354),_xlfn.NUMBERVALUE(B354),IF(ISTEXT(B354),VALUE(B354),"ERREUR")))</f>
        <v/>
      </c>
      <c r="L354" s="38" t="str">
        <f>IF(COUNTIF($R$4:$R$6,C354)&gt;0,C354,IF(ISBLANK(C354),IF(ISBLANK(D354),T(C354),"ERREUR"),"ERREUR"))</f>
        <v/>
      </c>
      <c r="M354" s="49" t="str">
        <f>IF(ISBLANK(D354),IF(ISBLANK(D355),T(D354),"ERREUR"),IF(COUNTIF($T$4:$T$240,SUBSTITUTE(SUBSTITUTE(SUBSTITUTE(SUBSTITUTE(SUBSTITUTE(SUBSTITUTE(UPPER(D354),"Å","A"),"É","E"),"È","E"),"Ê","E"),"Î","I"),"Ï","I"))&gt;0,D354,IF(ISBLANK(D354),T(D354),"ERREUR")))</f>
        <v/>
      </c>
      <c r="N354" s="38" t="str">
        <f>IF(COUNTIF($V$4:$V$6,E354)&gt;0,E354,IF(ISBLANK(E354),IF(ISBLANK(E355),T(E354),"ERREUR"),"ERREUR"))</f>
        <v/>
      </c>
      <c r="O354" s="38" t="str">
        <f>IF(COUNTIF($W$4:$W$5,F354)&gt;0,F354,IF(ISBLANK(F354),IF(ISBLANK(F355),T(F354),"ERREUR"),"ERREUR"))</f>
        <v/>
      </c>
      <c r="P354" s="38" t="str">
        <f>IF(COUNTIF($X$4:$X$8,G354)&gt;0,G354,IF(ISBLANK(G354),IF(ISBLANK(G355),T(G354),"ERREUR"),"ERREUR"))</f>
        <v/>
      </c>
      <c r="Q354" s="38" t="str">
        <f>IF(ISNUMBER(H354),IF(INT(H354)=H354,H354,"ERREUR"),IF(ISBLANK(H354),IF(ISBLANK(H355),T(H354),"ERREUR"),"ERREUR"))</f>
        <v/>
      </c>
      <c r="R354" s="38"/>
      <c r="S354" s="38"/>
      <c r="T354" s="38"/>
      <c r="U354" s="38"/>
      <c r="V354" s="38"/>
      <c r="W354" s="38"/>
      <c r="X354" s="53"/>
      <c r="Y354" s="42"/>
      <c r="Z354" s="42"/>
      <c r="AA354" s="42"/>
    </row>
    <row r="355" ht="13.75" customHeight="1">
      <c r="A355" s="14" t="s">
        <v>140</v>
      </c>
      <c r="B355" s="50"/>
      <c r="C355" s="43"/>
      <c r="D355" s="43"/>
      <c r="E355" s="44"/>
      <c r="F355" s="44"/>
      <c r="G355" s="44"/>
      <c r="H355" s="45"/>
      <c r="I355" s="54"/>
      <c r="J355" s="47" t="str">
        <f>IF(OR(K355="ERREUR",L355="ERREUR",M355="ERREUR",N355="ERREUR",O355="ERREUR",P355="ERREUR",Q355="ERREUR"),"ERREUR",IF(AND(K355="",L355="",M355="",N355="",O355="",P355="",Q355=""),"ligne vide",IF(OR(K355="",L355="",M355="",N355="",O355="",P355="",Q355=""),"ligne incomplète","Valide")))</f>
        <v xml:space="preserve">ligne vide</v>
      </c>
      <c r="K355" s="48" t="str">
        <f>IF(ISBLANK(B355),IF(ISBLANK(B356),T(B355),"ERREUR"),IF(ISNUMBER(B355),_xlfn.NUMBERVALUE(B355),IF(ISTEXT(B355),VALUE(B355),"ERREUR")))</f>
        <v/>
      </c>
      <c r="L355" s="38" t="str">
        <f>IF(COUNTIF($R$4:$R$6,C355)&gt;0,C355,IF(ISBLANK(C355),IF(ISBLANK(D355),T(C355),"ERREUR"),"ERREUR"))</f>
        <v/>
      </c>
      <c r="M355" s="49" t="str">
        <f>IF(ISBLANK(D355),IF(ISBLANK(D356),T(D355),"ERREUR"),IF(COUNTIF($T$4:$T$240,SUBSTITUTE(SUBSTITUTE(SUBSTITUTE(SUBSTITUTE(SUBSTITUTE(SUBSTITUTE(UPPER(D355),"Å","A"),"É","E"),"È","E"),"Ê","E"),"Î","I"),"Ï","I"))&gt;0,D355,IF(ISBLANK(D355),T(D355),"ERREUR")))</f>
        <v/>
      </c>
      <c r="N355" s="38" t="str">
        <f>IF(COUNTIF($V$4:$V$6,E355)&gt;0,E355,IF(ISBLANK(E355),IF(ISBLANK(E356),T(E355),"ERREUR"),"ERREUR"))</f>
        <v/>
      </c>
      <c r="O355" s="38" t="str">
        <f>IF(COUNTIF($W$4:$W$5,F355)&gt;0,F355,IF(ISBLANK(F355),IF(ISBLANK(F356),T(F355),"ERREUR"),"ERREUR"))</f>
        <v/>
      </c>
      <c r="P355" s="38" t="str">
        <f>IF(COUNTIF($X$4:$X$8,G355)&gt;0,G355,IF(ISBLANK(G355),IF(ISBLANK(G356),T(G355),"ERREUR"),"ERREUR"))</f>
        <v/>
      </c>
      <c r="Q355" s="38" t="str">
        <f>IF(ISNUMBER(H355),IF(INT(H355)=H355,H355,"ERREUR"),IF(ISBLANK(H355),IF(ISBLANK(H356),T(H355),"ERREUR"),"ERREUR"))</f>
        <v/>
      </c>
      <c r="R355" s="38"/>
      <c r="S355" s="38"/>
      <c r="T355" s="38"/>
      <c r="U355" s="38"/>
      <c r="V355" s="38"/>
      <c r="W355" s="38"/>
      <c r="X355" s="53"/>
      <c r="Y355" s="42"/>
      <c r="Z355" s="42"/>
      <c r="AA355" s="42"/>
    </row>
    <row r="356" ht="13.75" customHeight="1">
      <c r="A356" s="14" t="s">
        <v>140</v>
      </c>
      <c r="B356" s="50"/>
      <c r="C356" s="43"/>
      <c r="D356" s="43"/>
      <c r="E356" s="44"/>
      <c r="F356" s="44"/>
      <c r="G356" s="44"/>
      <c r="H356" s="45"/>
      <c r="I356" s="54"/>
      <c r="J356" s="47" t="str">
        <f>IF(OR(K356="ERREUR",L356="ERREUR",M356="ERREUR",N356="ERREUR",O356="ERREUR",P356="ERREUR",Q356="ERREUR"),"ERREUR",IF(AND(K356="",L356="",M356="",N356="",O356="",P356="",Q356=""),"ligne vide",IF(OR(K356="",L356="",M356="",N356="",O356="",P356="",Q356=""),"ligne incomplète","Valide")))</f>
        <v xml:space="preserve">ligne vide</v>
      </c>
      <c r="K356" s="48" t="str">
        <f>IF(ISBLANK(B356),IF(ISBLANK(B357),T(B356),"ERREUR"),IF(ISNUMBER(B356),_xlfn.NUMBERVALUE(B356),IF(ISTEXT(B356),VALUE(B356),"ERREUR")))</f>
        <v/>
      </c>
      <c r="L356" s="38" t="str">
        <f>IF(COUNTIF($R$4:$R$6,C356)&gt;0,C356,IF(ISBLANK(C356),IF(ISBLANK(D356),T(C356),"ERREUR"),"ERREUR"))</f>
        <v/>
      </c>
      <c r="M356" s="49" t="str">
        <f>IF(ISBLANK(D356),IF(ISBLANK(D357),T(D356),"ERREUR"),IF(COUNTIF($T$4:$T$240,SUBSTITUTE(SUBSTITUTE(SUBSTITUTE(SUBSTITUTE(SUBSTITUTE(SUBSTITUTE(UPPER(D356),"Å","A"),"É","E"),"È","E"),"Ê","E"),"Î","I"),"Ï","I"))&gt;0,D356,IF(ISBLANK(D356),T(D356),"ERREUR")))</f>
        <v/>
      </c>
      <c r="N356" s="38" t="str">
        <f>IF(COUNTIF($V$4:$V$6,E356)&gt;0,E356,IF(ISBLANK(E356),IF(ISBLANK(E357),T(E356),"ERREUR"),"ERREUR"))</f>
        <v/>
      </c>
      <c r="O356" s="38" t="str">
        <f>IF(COUNTIF($W$4:$W$5,F356)&gt;0,F356,IF(ISBLANK(F356),IF(ISBLANK(F357),T(F356),"ERREUR"),"ERREUR"))</f>
        <v/>
      </c>
      <c r="P356" s="38" t="str">
        <f>IF(COUNTIF($X$4:$X$8,G356)&gt;0,G356,IF(ISBLANK(G356),IF(ISBLANK(G357),T(G356),"ERREUR"),"ERREUR"))</f>
        <v/>
      </c>
      <c r="Q356" s="38" t="str">
        <f>IF(ISNUMBER(H356),IF(INT(H356)=H356,H356,"ERREUR"),IF(ISBLANK(H356),IF(ISBLANK(H357),T(H356),"ERREUR"),"ERREUR"))</f>
        <v/>
      </c>
      <c r="R356" s="38"/>
      <c r="S356" s="38"/>
      <c r="T356" s="38"/>
      <c r="U356" s="38"/>
      <c r="V356" s="38"/>
      <c r="W356" s="38"/>
      <c r="X356" s="53"/>
      <c r="Y356" s="42"/>
      <c r="Z356" s="42"/>
      <c r="AA356" s="42"/>
    </row>
    <row r="357" ht="13.75" customHeight="1">
      <c r="A357" s="14" t="s">
        <v>140</v>
      </c>
      <c r="B357" s="50"/>
      <c r="C357" s="43"/>
      <c r="D357" s="43"/>
      <c r="E357" s="44"/>
      <c r="F357" s="44"/>
      <c r="G357" s="44"/>
      <c r="H357" s="45"/>
      <c r="I357" s="54"/>
      <c r="J357" s="47" t="str">
        <f>IF(OR(K357="ERREUR",L357="ERREUR",M357="ERREUR",N357="ERREUR",O357="ERREUR",P357="ERREUR",Q357="ERREUR"),"ERREUR",IF(AND(K357="",L357="",M357="",N357="",O357="",P357="",Q357=""),"ligne vide",IF(OR(K357="",L357="",M357="",N357="",O357="",P357="",Q357=""),"ligne incomplète","Valide")))</f>
        <v xml:space="preserve">ligne vide</v>
      </c>
      <c r="K357" s="48" t="str">
        <f>IF(ISBLANK(B357),IF(ISBLANK(B358),T(B357),"ERREUR"),IF(ISNUMBER(B357),_xlfn.NUMBERVALUE(B357),IF(ISTEXT(B357),VALUE(B357),"ERREUR")))</f>
        <v/>
      </c>
      <c r="L357" s="38" t="str">
        <f>IF(COUNTIF($R$4:$R$6,C357)&gt;0,C357,IF(ISBLANK(C357),IF(ISBLANK(D357),T(C357),"ERREUR"),"ERREUR"))</f>
        <v/>
      </c>
      <c r="M357" s="49" t="str">
        <f>IF(ISBLANK(D357),IF(ISBLANK(D358),T(D357),"ERREUR"),IF(COUNTIF($T$4:$T$240,SUBSTITUTE(SUBSTITUTE(SUBSTITUTE(SUBSTITUTE(SUBSTITUTE(SUBSTITUTE(UPPER(D357),"Å","A"),"É","E"),"È","E"),"Ê","E"),"Î","I"),"Ï","I"))&gt;0,D357,IF(ISBLANK(D357),T(D357),"ERREUR")))</f>
        <v/>
      </c>
      <c r="N357" s="38" t="str">
        <f>IF(COUNTIF($V$4:$V$6,E357)&gt;0,E357,IF(ISBLANK(E357),IF(ISBLANK(E358),T(E357),"ERREUR"),"ERREUR"))</f>
        <v/>
      </c>
      <c r="O357" s="38" t="str">
        <f>IF(COUNTIF($W$4:$W$5,F357)&gt;0,F357,IF(ISBLANK(F357),IF(ISBLANK(F358),T(F357),"ERREUR"),"ERREUR"))</f>
        <v/>
      </c>
      <c r="P357" s="38" t="str">
        <f>IF(COUNTIF($X$4:$X$8,G357)&gt;0,G357,IF(ISBLANK(G357),IF(ISBLANK(G358),T(G357),"ERREUR"),"ERREUR"))</f>
        <v/>
      </c>
      <c r="Q357" s="38" t="str">
        <f>IF(ISNUMBER(H357),IF(INT(H357)=H357,H357,"ERREUR"),IF(ISBLANK(H357),IF(ISBLANK(H358),T(H357),"ERREUR"),"ERREUR"))</f>
        <v/>
      </c>
      <c r="R357" s="38"/>
      <c r="S357" s="38"/>
      <c r="T357" s="38"/>
      <c r="U357" s="38"/>
      <c r="V357" s="38"/>
      <c r="W357" s="38"/>
      <c r="X357" s="53"/>
      <c r="Y357" s="42"/>
      <c r="Z357" s="42"/>
      <c r="AA357" s="42"/>
    </row>
    <row r="358" ht="13.75" customHeight="1">
      <c r="A358" s="14" t="s">
        <v>140</v>
      </c>
      <c r="B358" s="50"/>
      <c r="C358" s="43"/>
      <c r="D358" s="43"/>
      <c r="E358" s="44"/>
      <c r="F358" s="44"/>
      <c r="G358" s="44"/>
      <c r="H358" s="45"/>
      <c r="I358" s="54"/>
      <c r="J358" s="47" t="str">
        <f>IF(OR(K358="ERREUR",L358="ERREUR",M358="ERREUR",N358="ERREUR",O358="ERREUR",P358="ERREUR",Q358="ERREUR"),"ERREUR",IF(AND(K358="",L358="",M358="",N358="",O358="",P358="",Q358=""),"ligne vide",IF(OR(K358="",L358="",M358="",N358="",O358="",P358="",Q358=""),"ligne incomplète","Valide")))</f>
        <v xml:space="preserve">ligne vide</v>
      </c>
      <c r="K358" s="48" t="str">
        <f>IF(ISBLANK(B358),IF(ISBLANK(B359),T(B358),"ERREUR"),IF(ISNUMBER(B358),_xlfn.NUMBERVALUE(B358),IF(ISTEXT(B358),VALUE(B358),"ERREUR")))</f>
        <v/>
      </c>
      <c r="L358" s="38" t="str">
        <f>IF(COUNTIF($R$4:$R$6,C358)&gt;0,C358,IF(ISBLANK(C358),IF(ISBLANK(D358),T(C358),"ERREUR"),"ERREUR"))</f>
        <v/>
      </c>
      <c r="M358" s="49" t="str">
        <f>IF(ISBLANK(D358),IF(ISBLANK(D359),T(D358),"ERREUR"),IF(COUNTIF($T$4:$T$240,SUBSTITUTE(SUBSTITUTE(SUBSTITUTE(SUBSTITUTE(SUBSTITUTE(SUBSTITUTE(UPPER(D358),"Å","A"),"É","E"),"È","E"),"Ê","E"),"Î","I"),"Ï","I"))&gt;0,D358,IF(ISBLANK(D358),T(D358),"ERREUR")))</f>
        <v/>
      </c>
      <c r="N358" s="38" t="str">
        <f>IF(COUNTIF($V$4:$V$6,E358)&gt;0,E358,IF(ISBLANK(E358),IF(ISBLANK(E359),T(E358),"ERREUR"),"ERREUR"))</f>
        <v/>
      </c>
      <c r="O358" s="38" t="str">
        <f>IF(COUNTIF($W$4:$W$5,F358)&gt;0,F358,IF(ISBLANK(F358),IF(ISBLANK(F359),T(F358),"ERREUR"),"ERREUR"))</f>
        <v/>
      </c>
      <c r="P358" s="38" t="str">
        <f>IF(COUNTIF($X$4:$X$8,G358)&gt;0,G358,IF(ISBLANK(G358),IF(ISBLANK(G359),T(G358),"ERREUR"),"ERREUR"))</f>
        <v/>
      </c>
      <c r="Q358" s="38" t="str">
        <f>IF(ISNUMBER(H358),IF(INT(H358)=H358,H358,"ERREUR"),IF(ISBLANK(H358),IF(ISBLANK(H359),T(H358),"ERREUR"),"ERREUR"))</f>
        <v/>
      </c>
      <c r="R358" s="38"/>
      <c r="S358" s="38"/>
      <c r="T358" s="38"/>
      <c r="U358" s="38"/>
      <c r="V358" s="38"/>
      <c r="W358" s="38"/>
      <c r="X358" s="53"/>
      <c r="Y358" s="42"/>
      <c r="Z358" s="42"/>
      <c r="AA358" s="42"/>
    </row>
    <row r="359" ht="13.75" customHeight="1">
      <c r="A359" s="14" t="s">
        <v>140</v>
      </c>
      <c r="B359" s="50"/>
      <c r="C359" s="43"/>
      <c r="D359" s="43"/>
      <c r="E359" s="44"/>
      <c r="F359" s="44"/>
      <c r="G359" s="44"/>
      <c r="H359" s="45"/>
      <c r="I359" s="54"/>
      <c r="J359" s="47" t="str">
        <f>IF(OR(K359="ERREUR",L359="ERREUR",M359="ERREUR",N359="ERREUR",O359="ERREUR",P359="ERREUR",Q359="ERREUR"),"ERREUR",IF(AND(K359="",L359="",M359="",N359="",O359="",P359="",Q359=""),"ligne vide",IF(OR(K359="",L359="",M359="",N359="",O359="",P359="",Q359=""),"ligne incomplète","Valide")))</f>
        <v xml:space="preserve">ligne vide</v>
      </c>
      <c r="K359" s="48" t="str">
        <f>IF(ISBLANK(B359),IF(ISBLANK(B360),T(B359),"ERREUR"),IF(ISNUMBER(B359),_xlfn.NUMBERVALUE(B359),IF(ISTEXT(B359),VALUE(B359),"ERREUR")))</f>
        <v/>
      </c>
      <c r="L359" s="38" t="str">
        <f>IF(COUNTIF($R$4:$R$6,C359)&gt;0,C359,IF(ISBLANK(C359),IF(ISBLANK(D359),T(C359),"ERREUR"),"ERREUR"))</f>
        <v/>
      </c>
      <c r="M359" s="49" t="str">
        <f>IF(ISBLANK(D359),IF(ISBLANK(D360),T(D359),"ERREUR"),IF(COUNTIF($T$4:$T$240,SUBSTITUTE(SUBSTITUTE(SUBSTITUTE(SUBSTITUTE(SUBSTITUTE(SUBSTITUTE(UPPER(D359),"Å","A"),"É","E"),"È","E"),"Ê","E"),"Î","I"),"Ï","I"))&gt;0,D359,IF(ISBLANK(D359),T(D359),"ERREUR")))</f>
        <v/>
      </c>
      <c r="N359" s="38" t="str">
        <f>IF(COUNTIF($V$4:$V$6,E359)&gt;0,E359,IF(ISBLANK(E359),IF(ISBLANK(E360),T(E359),"ERREUR"),"ERREUR"))</f>
        <v/>
      </c>
      <c r="O359" s="38" t="str">
        <f>IF(COUNTIF($W$4:$W$5,F359)&gt;0,F359,IF(ISBLANK(F359),IF(ISBLANK(F360),T(F359),"ERREUR"),"ERREUR"))</f>
        <v/>
      </c>
      <c r="P359" s="38" t="str">
        <f>IF(COUNTIF($X$4:$X$8,G359)&gt;0,G359,IF(ISBLANK(G359),IF(ISBLANK(G360),T(G359),"ERREUR"),"ERREUR"))</f>
        <v/>
      </c>
      <c r="Q359" s="38" t="str">
        <f>IF(ISNUMBER(H359),IF(INT(H359)=H359,H359,"ERREUR"),IF(ISBLANK(H359),IF(ISBLANK(H360),T(H359),"ERREUR"),"ERREUR"))</f>
        <v/>
      </c>
      <c r="R359" s="38"/>
      <c r="S359" s="38"/>
      <c r="T359" s="38"/>
      <c r="U359" s="38"/>
      <c r="V359" s="38"/>
      <c r="W359" s="38"/>
      <c r="X359" s="53"/>
      <c r="Y359" s="42"/>
      <c r="Z359" s="42"/>
      <c r="AA359" s="42"/>
    </row>
    <row r="360" ht="13.75" customHeight="1">
      <c r="A360" s="14" t="s">
        <v>140</v>
      </c>
      <c r="B360" s="50"/>
      <c r="C360" s="43"/>
      <c r="D360" s="43"/>
      <c r="E360" s="44"/>
      <c r="F360" s="44"/>
      <c r="G360" s="44"/>
      <c r="H360" s="45"/>
      <c r="I360" s="54"/>
      <c r="J360" s="47" t="str">
        <f>IF(OR(K360="ERREUR",L360="ERREUR",M360="ERREUR",N360="ERREUR",O360="ERREUR",P360="ERREUR",Q360="ERREUR"),"ERREUR",IF(AND(K360="",L360="",M360="",N360="",O360="",P360="",Q360=""),"ligne vide",IF(OR(K360="",L360="",M360="",N360="",O360="",P360="",Q360=""),"ligne incomplète","Valide")))</f>
        <v xml:space="preserve">ligne vide</v>
      </c>
      <c r="K360" s="48" t="str">
        <f>IF(ISBLANK(B360),IF(ISBLANK(B361),T(B360),"ERREUR"),IF(ISNUMBER(B360),_xlfn.NUMBERVALUE(B360),IF(ISTEXT(B360),VALUE(B360),"ERREUR")))</f>
        <v/>
      </c>
      <c r="L360" s="38" t="str">
        <f>IF(COUNTIF($R$4:$R$6,C360)&gt;0,C360,IF(ISBLANK(C360),IF(ISBLANK(D360),T(C360),"ERREUR"),"ERREUR"))</f>
        <v/>
      </c>
      <c r="M360" s="49" t="str">
        <f>IF(ISBLANK(D360),IF(ISBLANK(D361),T(D360),"ERREUR"),IF(COUNTIF($T$4:$T$240,SUBSTITUTE(SUBSTITUTE(SUBSTITUTE(SUBSTITUTE(SUBSTITUTE(SUBSTITUTE(UPPER(D360),"Å","A"),"É","E"),"È","E"),"Ê","E"),"Î","I"),"Ï","I"))&gt;0,D360,IF(ISBLANK(D360),T(D360),"ERREUR")))</f>
        <v/>
      </c>
      <c r="N360" s="38" t="str">
        <f>IF(COUNTIF($V$4:$V$6,E360)&gt;0,E360,IF(ISBLANK(E360),IF(ISBLANK(E361),T(E360),"ERREUR"),"ERREUR"))</f>
        <v/>
      </c>
      <c r="O360" s="38" t="str">
        <f>IF(COUNTIF($W$4:$W$5,F360)&gt;0,F360,IF(ISBLANK(F360),IF(ISBLANK(F361),T(F360),"ERREUR"),"ERREUR"))</f>
        <v/>
      </c>
      <c r="P360" s="38" t="str">
        <f>IF(COUNTIF($X$4:$X$8,G360)&gt;0,G360,IF(ISBLANK(G360),IF(ISBLANK(G361),T(G360),"ERREUR"),"ERREUR"))</f>
        <v/>
      </c>
      <c r="Q360" s="38" t="str">
        <f>IF(ISNUMBER(H360),IF(INT(H360)=H360,H360,"ERREUR"),IF(ISBLANK(H360),IF(ISBLANK(H361),T(H360),"ERREUR"),"ERREUR"))</f>
        <v/>
      </c>
      <c r="R360" s="38"/>
      <c r="S360" s="38"/>
      <c r="T360" s="38"/>
      <c r="U360" s="38"/>
      <c r="V360" s="38"/>
      <c r="W360" s="38"/>
      <c r="X360" s="53"/>
      <c r="Y360" s="42"/>
      <c r="Z360" s="42"/>
      <c r="AA360" s="42"/>
    </row>
    <row r="361" ht="13.75" customHeight="1">
      <c r="A361" s="14" t="s">
        <v>140</v>
      </c>
      <c r="B361" s="50"/>
      <c r="C361" s="43"/>
      <c r="D361" s="43"/>
      <c r="E361" s="44"/>
      <c r="F361" s="44"/>
      <c r="G361" s="44"/>
      <c r="H361" s="45"/>
      <c r="I361" s="54"/>
      <c r="J361" s="47" t="str">
        <f>IF(OR(K361="ERREUR",L361="ERREUR",M361="ERREUR",N361="ERREUR",O361="ERREUR",P361="ERREUR",Q361="ERREUR"),"ERREUR",IF(AND(K361="",L361="",M361="",N361="",O361="",P361="",Q361=""),"ligne vide",IF(OR(K361="",L361="",M361="",N361="",O361="",P361="",Q361=""),"ligne incomplète","Valide")))</f>
        <v xml:space="preserve">ligne vide</v>
      </c>
      <c r="K361" s="48" t="str">
        <f>IF(ISBLANK(B361),IF(ISBLANK(B362),T(B361),"ERREUR"),IF(ISNUMBER(B361),_xlfn.NUMBERVALUE(B361),IF(ISTEXT(B361),VALUE(B361),"ERREUR")))</f>
        <v/>
      </c>
      <c r="L361" s="38" t="str">
        <f>IF(COUNTIF($R$4:$R$6,C361)&gt;0,C361,IF(ISBLANK(C361),IF(ISBLANK(D361),T(C361),"ERREUR"),"ERREUR"))</f>
        <v/>
      </c>
      <c r="M361" s="49" t="str">
        <f>IF(ISBLANK(D361),IF(ISBLANK(D362),T(D361),"ERREUR"),IF(COUNTIF($T$4:$T$240,SUBSTITUTE(SUBSTITUTE(SUBSTITUTE(SUBSTITUTE(SUBSTITUTE(SUBSTITUTE(UPPER(D361),"Å","A"),"É","E"),"È","E"),"Ê","E"),"Î","I"),"Ï","I"))&gt;0,D361,IF(ISBLANK(D361),T(D361),"ERREUR")))</f>
        <v/>
      </c>
      <c r="N361" s="38" t="str">
        <f>IF(COUNTIF($V$4:$V$6,E361)&gt;0,E361,IF(ISBLANK(E361),IF(ISBLANK(E362),T(E361),"ERREUR"),"ERREUR"))</f>
        <v/>
      </c>
      <c r="O361" s="38" t="str">
        <f>IF(COUNTIF($W$4:$W$5,F361)&gt;0,F361,IF(ISBLANK(F361),IF(ISBLANK(F362),T(F361),"ERREUR"),"ERREUR"))</f>
        <v/>
      </c>
      <c r="P361" s="38" t="str">
        <f>IF(COUNTIF($X$4:$X$8,G361)&gt;0,G361,IF(ISBLANK(G361),IF(ISBLANK(G362),T(G361),"ERREUR"),"ERREUR"))</f>
        <v/>
      </c>
      <c r="Q361" s="38" t="str">
        <f>IF(ISNUMBER(H361),IF(INT(H361)=H361,H361,"ERREUR"),IF(ISBLANK(H361),IF(ISBLANK(H362),T(H361),"ERREUR"),"ERREUR"))</f>
        <v/>
      </c>
      <c r="R361" s="38"/>
      <c r="S361" s="38"/>
      <c r="T361" s="38"/>
      <c r="U361" s="38"/>
      <c r="V361" s="38"/>
      <c r="W361" s="38"/>
      <c r="X361" s="53"/>
      <c r="Y361" s="42"/>
      <c r="Z361" s="42"/>
      <c r="AA361" s="42"/>
    </row>
    <row r="362" ht="13.75" customHeight="1">
      <c r="A362" s="14" t="s">
        <v>140</v>
      </c>
      <c r="B362" s="50"/>
      <c r="C362" s="43"/>
      <c r="D362" s="43"/>
      <c r="E362" s="44"/>
      <c r="F362" s="44"/>
      <c r="G362" s="44"/>
      <c r="H362" s="45"/>
      <c r="I362" s="54"/>
      <c r="J362" s="47" t="str">
        <f>IF(OR(K362="ERREUR",L362="ERREUR",M362="ERREUR",N362="ERREUR",O362="ERREUR",P362="ERREUR",Q362="ERREUR"),"ERREUR",IF(AND(K362="",L362="",M362="",N362="",O362="",P362="",Q362=""),"ligne vide",IF(OR(K362="",L362="",M362="",N362="",O362="",P362="",Q362=""),"ligne incomplète","Valide")))</f>
        <v xml:space="preserve">ligne vide</v>
      </c>
      <c r="K362" s="48" t="str">
        <f>IF(ISBLANK(B362),IF(ISBLANK(B363),T(B362),"ERREUR"),IF(ISNUMBER(B362),_xlfn.NUMBERVALUE(B362),IF(ISTEXT(B362),VALUE(B362),"ERREUR")))</f>
        <v/>
      </c>
      <c r="L362" s="38" t="str">
        <f>IF(COUNTIF($R$4:$R$6,C362)&gt;0,C362,IF(ISBLANK(C362),IF(ISBLANK(D362),T(C362),"ERREUR"),"ERREUR"))</f>
        <v/>
      </c>
      <c r="M362" s="49" t="str">
        <f>IF(ISBLANK(D362),IF(ISBLANK(D363),T(D362),"ERREUR"),IF(COUNTIF($T$4:$T$240,SUBSTITUTE(SUBSTITUTE(SUBSTITUTE(SUBSTITUTE(SUBSTITUTE(SUBSTITUTE(UPPER(D362),"Å","A"),"É","E"),"È","E"),"Ê","E"),"Î","I"),"Ï","I"))&gt;0,D362,IF(ISBLANK(D362),T(D362),"ERREUR")))</f>
        <v/>
      </c>
      <c r="N362" s="38" t="str">
        <f>IF(COUNTIF($V$4:$V$6,E362)&gt;0,E362,IF(ISBLANK(E362),IF(ISBLANK(E363),T(E362),"ERREUR"),"ERREUR"))</f>
        <v/>
      </c>
      <c r="O362" s="38" t="str">
        <f>IF(COUNTIF($W$4:$W$5,F362)&gt;0,F362,IF(ISBLANK(F362),IF(ISBLANK(F363),T(F362),"ERREUR"),"ERREUR"))</f>
        <v/>
      </c>
      <c r="P362" s="38" t="str">
        <f>IF(COUNTIF($X$4:$X$8,G362)&gt;0,G362,IF(ISBLANK(G362),IF(ISBLANK(G363),T(G362),"ERREUR"),"ERREUR"))</f>
        <v/>
      </c>
      <c r="Q362" s="38" t="str">
        <f>IF(ISNUMBER(H362),IF(INT(H362)=H362,H362,"ERREUR"),IF(ISBLANK(H362),IF(ISBLANK(H363),T(H362),"ERREUR"),"ERREUR"))</f>
        <v/>
      </c>
      <c r="R362" s="38"/>
      <c r="S362" s="38"/>
      <c r="T362" s="38"/>
      <c r="U362" s="38"/>
      <c r="V362" s="38"/>
      <c r="W362" s="38"/>
      <c r="X362" s="53"/>
      <c r="Y362" s="42"/>
      <c r="Z362" s="42"/>
      <c r="AA362" s="42"/>
    </row>
    <row r="363" ht="13.75" customHeight="1">
      <c r="A363" s="14" t="s">
        <v>140</v>
      </c>
      <c r="B363" s="50"/>
      <c r="C363" s="43"/>
      <c r="D363" s="43"/>
      <c r="E363" s="44"/>
      <c r="F363" s="44"/>
      <c r="G363" s="44"/>
      <c r="H363" s="45"/>
      <c r="I363" s="54"/>
      <c r="J363" s="47" t="str">
        <f>IF(OR(K363="ERREUR",L363="ERREUR",M363="ERREUR",N363="ERREUR",O363="ERREUR",P363="ERREUR",Q363="ERREUR"),"ERREUR",IF(AND(K363="",L363="",M363="",N363="",O363="",P363="",Q363=""),"ligne vide",IF(OR(K363="",L363="",M363="",N363="",O363="",P363="",Q363=""),"ligne incomplète","Valide")))</f>
        <v xml:space="preserve">ligne vide</v>
      </c>
      <c r="K363" s="48" t="str">
        <f>IF(ISBLANK(B363),IF(ISBLANK(B364),T(B363),"ERREUR"),IF(ISNUMBER(B363),_xlfn.NUMBERVALUE(B363),IF(ISTEXT(B363),VALUE(B363),"ERREUR")))</f>
        <v/>
      </c>
      <c r="L363" s="38" t="str">
        <f>IF(COUNTIF($R$4:$R$6,C363)&gt;0,C363,IF(ISBLANK(C363),IF(ISBLANK(D363),T(C363),"ERREUR"),"ERREUR"))</f>
        <v/>
      </c>
      <c r="M363" s="49" t="str">
        <f>IF(ISBLANK(D363),IF(ISBLANK(D364),T(D363),"ERREUR"),IF(COUNTIF($T$4:$T$240,SUBSTITUTE(SUBSTITUTE(SUBSTITUTE(SUBSTITUTE(SUBSTITUTE(SUBSTITUTE(UPPER(D363),"Å","A"),"É","E"),"È","E"),"Ê","E"),"Î","I"),"Ï","I"))&gt;0,D363,IF(ISBLANK(D363),T(D363),"ERREUR")))</f>
        <v/>
      </c>
      <c r="N363" s="38" t="str">
        <f>IF(COUNTIF($V$4:$V$6,E363)&gt;0,E363,IF(ISBLANK(E363),IF(ISBLANK(E364),T(E363),"ERREUR"),"ERREUR"))</f>
        <v/>
      </c>
      <c r="O363" s="38" t="str">
        <f>IF(COUNTIF($W$4:$W$5,F363)&gt;0,F363,IF(ISBLANK(F363),IF(ISBLANK(F364),T(F363),"ERREUR"),"ERREUR"))</f>
        <v/>
      </c>
      <c r="P363" s="38" t="str">
        <f>IF(COUNTIF($X$4:$X$8,G363)&gt;0,G363,IF(ISBLANK(G363),IF(ISBLANK(G364),T(G363),"ERREUR"),"ERREUR"))</f>
        <v/>
      </c>
      <c r="Q363" s="38" t="str">
        <f>IF(ISNUMBER(H363),IF(INT(H363)=H363,H363,"ERREUR"),IF(ISBLANK(H363),IF(ISBLANK(H364),T(H363),"ERREUR"),"ERREUR"))</f>
        <v/>
      </c>
      <c r="R363" s="38"/>
      <c r="S363" s="38"/>
      <c r="T363" s="38"/>
      <c r="U363" s="38"/>
      <c r="V363" s="38"/>
      <c r="W363" s="38"/>
      <c r="X363" s="53"/>
      <c r="Y363" s="42"/>
      <c r="Z363" s="42"/>
      <c r="AA363" s="42"/>
    </row>
    <row r="364" ht="13.75" customHeight="1">
      <c r="A364" s="14" t="s">
        <v>140</v>
      </c>
      <c r="B364" s="50"/>
      <c r="C364" s="43"/>
      <c r="D364" s="43"/>
      <c r="E364" s="44"/>
      <c r="F364" s="44"/>
      <c r="G364" s="44"/>
      <c r="H364" s="45"/>
      <c r="I364" s="54"/>
      <c r="J364" s="47" t="str">
        <f>IF(OR(K364="ERREUR",L364="ERREUR",M364="ERREUR",N364="ERREUR",O364="ERREUR",P364="ERREUR",Q364="ERREUR"),"ERREUR",IF(AND(K364="",L364="",M364="",N364="",O364="",P364="",Q364=""),"ligne vide",IF(OR(K364="",L364="",M364="",N364="",O364="",P364="",Q364=""),"ligne incomplète","Valide")))</f>
        <v xml:space="preserve">ligne vide</v>
      </c>
      <c r="K364" s="48" t="str">
        <f>IF(ISBLANK(B364),IF(ISBLANK(B365),T(B364),"ERREUR"),IF(ISNUMBER(B364),_xlfn.NUMBERVALUE(B364),IF(ISTEXT(B364),VALUE(B364),"ERREUR")))</f>
        <v/>
      </c>
      <c r="L364" s="38" t="str">
        <f>IF(COUNTIF($R$4:$R$6,C364)&gt;0,C364,IF(ISBLANK(C364),IF(ISBLANK(D364),T(C364),"ERREUR"),"ERREUR"))</f>
        <v/>
      </c>
      <c r="M364" s="49" t="str">
        <f>IF(ISBLANK(D364),IF(ISBLANK(D365),T(D364),"ERREUR"),IF(COUNTIF($T$4:$T$240,SUBSTITUTE(SUBSTITUTE(SUBSTITUTE(SUBSTITUTE(SUBSTITUTE(SUBSTITUTE(UPPER(D364),"Å","A"),"É","E"),"È","E"),"Ê","E"),"Î","I"),"Ï","I"))&gt;0,D364,IF(ISBLANK(D364),T(D364),"ERREUR")))</f>
        <v/>
      </c>
      <c r="N364" s="38" t="str">
        <f>IF(COUNTIF($V$4:$V$6,E364)&gt;0,E364,IF(ISBLANK(E364),IF(ISBLANK(E365),T(E364),"ERREUR"),"ERREUR"))</f>
        <v/>
      </c>
      <c r="O364" s="38" t="str">
        <f>IF(COUNTIF($W$4:$W$5,F364)&gt;0,F364,IF(ISBLANK(F364),IF(ISBLANK(F365),T(F364),"ERREUR"),"ERREUR"))</f>
        <v/>
      </c>
      <c r="P364" s="38" t="str">
        <f>IF(COUNTIF($X$4:$X$8,G364)&gt;0,G364,IF(ISBLANK(G364),IF(ISBLANK(G365),T(G364),"ERREUR"),"ERREUR"))</f>
        <v/>
      </c>
      <c r="Q364" s="38" t="str">
        <f>IF(ISNUMBER(H364),IF(INT(H364)=H364,H364,"ERREUR"),IF(ISBLANK(H364),IF(ISBLANK(H365),T(H364),"ERREUR"),"ERREUR"))</f>
        <v/>
      </c>
      <c r="R364" s="38"/>
      <c r="S364" s="38"/>
      <c r="T364" s="38"/>
      <c r="U364" s="38"/>
      <c r="V364" s="38"/>
      <c r="W364" s="38"/>
      <c r="X364" s="53"/>
      <c r="Y364" s="42"/>
      <c r="Z364" s="42"/>
      <c r="AA364" s="42"/>
    </row>
    <row r="365" ht="13.75" customHeight="1">
      <c r="A365" s="14" t="s">
        <v>140</v>
      </c>
      <c r="B365" s="50"/>
      <c r="C365" s="43"/>
      <c r="D365" s="43"/>
      <c r="E365" s="44"/>
      <c r="F365" s="44"/>
      <c r="G365" s="44"/>
      <c r="H365" s="45"/>
      <c r="I365" s="54"/>
      <c r="J365" s="47" t="str">
        <f>IF(OR(K365="ERREUR",L365="ERREUR",M365="ERREUR",N365="ERREUR",O365="ERREUR",P365="ERREUR",Q365="ERREUR"),"ERREUR",IF(AND(K365="",L365="",M365="",N365="",O365="",P365="",Q365=""),"ligne vide",IF(OR(K365="",L365="",M365="",N365="",O365="",P365="",Q365=""),"ligne incomplète","Valide")))</f>
        <v xml:space="preserve">ligne vide</v>
      </c>
      <c r="K365" s="48" t="str">
        <f>IF(ISBLANK(B365),IF(ISBLANK(B366),T(B365),"ERREUR"),IF(ISNUMBER(B365),_xlfn.NUMBERVALUE(B365),IF(ISTEXT(B365),VALUE(B365),"ERREUR")))</f>
        <v/>
      </c>
      <c r="L365" s="38" t="str">
        <f>IF(COUNTIF($R$4:$R$6,C365)&gt;0,C365,IF(ISBLANK(C365),IF(ISBLANK(D365),T(C365),"ERREUR"),"ERREUR"))</f>
        <v/>
      </c>
      <c r="M365" s="49" t="str">
        <f>IF(ISBLANK(D365),IF(ISBLANK(D366),T(D365),"ERREUR"),IF(COUNTIF($T$4:$T$240,SUBSTITUTE(SUBSTITUTE(SUBSTITUTE(SUBSTITUTE(SUBSTITUTE(SUBSTITUTE(UPPER(D365),"Å","A"),"É","E"),"È","E"),"Ê","E"),"Î","I"),"Ï","I"))&gt;0,D365,IF(ISBLANK(D365),T(D365),"ERREUR")))</f>
        <v/>
      </c>
      <c r="N365" s="38" t="str">
        <f>IF(COUNTIF($V$4:$V$6,E365)&gt;0,E365,IF(ISBLANK(E365),IF(ISBLANK(E366),T(E365),"ERREUR"),"ERREUR"))</f>
        <v/>
      </c>
      <c r="O365" s="38" t="str">
        <f>IF(COUNTIF($W$4:$W$5,F365)&gt;0,F365,IF(ISBLANK(F365),IF(ISBLANK(F366),T(F365),"ERREUR"),"ERREUR"))</f>
        <v/>
      </c>
      <c r="P365" s="38" t="str">
        <f>IF(COUNTIF($X$4:$X$8,G365)&gt;0,G365,IF(ISBLANK(G365),IF(ISBLANK(G366),T(G365),"ERREUR"),"ERREUR"))</f>
        <v/>
      </c>
      <c r="Q365" s="38" t="str">
        <f>IF(ISNUMBER(H365),IF(INT(H365)=H365,H365,"ERREUR"),IF(ISBLANK(H365),IF(ISBLANK(H366),T(H365),"ERREUR"),"ERREUR"))</f>
        <v/>
      </c>
      <c r="R365" s="38"/>
      <c r="S365" s="38"/>
      <c r="T365" s="38"/>
      <c r="U365" s="38"/>
      <c r="V365" s="38"/>
      <c r="W365" s="38"/>
      <c r="X365" s="53"/>
      <c r="Y365" s="42"/>
      <c r="Z365" s="42"/>
      <c r="AA365" s="42"/>
    </row>
    <row r="366" ht="13.75" customHeight="1">
      <c r="A366" s="14" t="s">
        <v>140</v>
      </c>
      <c r="B366" s="50"/>
      <c r="C366" s="43"/>
      <c r="D366" s="43"/>
      <c r="E366" s="44"/>
      <c r="F366" s="44"/>
      <c r="G366" s="44"/>
      <c r="H366" s="45"/>
      <c r="I366" s="54"/>
      <c r="J366" s="47" t="str">
        <f>IF(OR(K366="ERREUR",L366="ERREUR",M366="ERREUR",N366="ERREUR",O366="ERREUR",P366="ERREUR",Q366="ERREUR"),"ERREUR",IF(AND(K366="",L366="",M366="",N366="",O366="",P366="",Q366=""),"ligne vide",IF(OR(K366="",L366="",M366="",N366="",O366="",P366="",Q366=""),"ligne incomplète","Valide")))</f>
        <v xml:space="preserve">ligne vide</v>
      </c>
      <c r="K366" s="48" t="str">
        <f>IF(ISBLANK(B366),IF(ISBLANK(B367),T(B366),"ERREUR"),IF(ISNUMBER(B366),_xlfn.NUMBERVALUE(B366),IF(ISTEXT(B366),VALUE(B366),"ERREUR")))</f>
        <v/>
      </c>
      <c r="L366" s="38" t="str">
        <f>IF(COUNTIF($R$4:$R$6,C366)&gt;0,C366,IF(ISBLANK(C366),IF(ISBLANK(D366),T(C366),"ERREUR"),"ERREUR"))</f>
        <v/>
      </c>
      <c r="M366" s="49" t="str">
        <f>IF(ISBLANK(D366),IF(ISBLANK(D367),T(D366),"ERREUR"),IF(COUNTIF($T$4:$T$240,SUBSTITUTE(SUBSTITUTE(SUBSTITUTE(SUBSTITUTE(SUBSTITUTE(SUBSTITUTE(UPPER(D366),"Å","A"),"É","E"),"È","E"),"Ê","E"),"Î","I"),"Ï","I"))&gt;0,D366,IF(ISBLANK(D366),T(D366),"ERREUR")))</f>
        <v/>
      </c>
      <c r="N366" s="38" t="str">
        <f>IF(COUNTIF($V$4:$V$6,E366)&gt;0,E366,IF(ISBLANK(E366),IF(ISBLANK(E367),T(E366),"ERREUR"),"ERREUR"))</f>
        <v/>
      </c>
      <c r="O366" s="38" t="str">
        <f>IF(COUNTIF($W$4:$W$5,F366)&gt;0,F366,IF(ISBLANK(F366),IF(ISBLANK(F367),T(F366),"ERREUR"),"ERREUR"))</f>
        <v/>
      </c>
      <c r="P366" s="38" t="str">
        <f>IF(COUNTIF($X$4:$X$8,G366)&gt;0,G366,IF(ISBLANK(G366),IF(ISBLANK(G367),T(G366),"ERREUR"),"ERREUR"))</f>
        <v/>
      </c>
      <c r="Q366" s="38" t="str">
        <f>IF(ISNUMBER(H366),IF(INT(H366)=H366,H366,"ERREUR"),IF(ISBLANK(H366),IF(ISBLANK(H367),T(H366),"ERREUR"),"ERREUR"))</f>
        <v/>
      </c>
      <c r="R366" s="38"/>
      <c r="S366" s="38"/>
      <c r="T366" s="38"/>
      <c r="U366" s="38"/>
      <c r="V366" s="38"/>
      <c r="W366" s="38"/>
      <c r="X366" s="53"/>
      <c r="Y366" s="42"/>
      <c r="Z366" s="42"/>
      <c r="AA366" s="42"/>
    </row>
    <row r="367" ht="13.75" customHeight="1">
      <c r="A367" s="14" t="s">
        <v>140</v>
      </c>
      <c r="B367" s="50"/>
      <c r="C367" s="43"/>
      <c r="D367" s="43"/>
      <c r="E367" s="44"/>
      <c r="F367" s="44"/>
      <c r="G367" s="44"/>
      <c r="H367" s="45"/>
      <c r="I367" s="54"/>
      <c r="J367" s="47" t="str">
        <f>IF(OR(K367="ERREUR",L367="ERREUR",M367="ERREUR",N367="ERREUR",O367="ERREUR",P367="ERREUR",Q367="ERREUR"),"ERREUR",IF(AND(K367="",L367="",M367="",N367="",O367="",P367="",Q367=""),"ligne vide",IF(OR(K367="",L367="",M367="",N367="",O367="",P367="",Q367=""),"ligne incomplète","Valide")))</f>
        <v xml:space="preserve">ligne vide</v>
      </c>
      <c r="K367" s="48" t="str">
        <f>IF(ISBLANK(B367),IF(ISBLANK(B368),T(B367),"ERREUR"),IF(ISNUMBER(B367),_xlfn.NUMBERVALUE(B367),IF(ISTEXT(B367),VALUE(B367),"ERREUR")))</f>
        <v/>
      </c>
      <c r="L367" s="38" t="str">
        <f>IF(COUNTIF($R$4:$R$6,C367)&gt;0,C367,IF(ISBLANK(C367),IF(ISBLANK(D367),T(C367),"ERREUR"),"ERREUR"))</f>
        <v/>
      </c>
      <c r="M367" s="49" t="str">
        <f>IF(ISBLANK(D367),IF(ISBLANK(D368),T(D367),"ERREUR"),IF(COUNTIF($T$4:$T$240,SUBSTITUTE(SUBSTITUTE(SUBSTITUTE(SUBSTITUTE(SUBSTITUTE(SUBSTITUTE(UPPER(D367),"Å","A"),"É","E"),"È","E"),"Ê","E"),"Î","I"),"Ï","I"))&gt;0,D367,IF(ISBLANK(D367),T(D367),"ERREUR")))</f>
        <v/>
      </c>
      <c r="N367" s="38" t="str">
        <f>IF(COUNTIF($V$4:$V$6,E367)&gt;0,E367,IF(ISBLANK(E367),IF(ISBLANK(E368),T(E367),"ERREUR"),"ERREUR"))</f>
        <v/>
      </c>
      <c r="O367" s="38" t="str">
        <f>IF(COUNTIF($W$4:$W$5,F367)&gt;0,F367,IF(ISBLANK(F367),IF(ISBLANK(F368),T(F367),"ERREUR"),"ERREUR"))</f>
        <v/>
      </c>
      <c r="P367" s="38" t="str">
        <f>IF(COUNTIF($X$4:$X$8,G367)&gt;0,G367,IF(ISBLANK(G367),IF(ISBLANK(G368),T(G367),"ERREUR"),"ERREUR"))</f>
        <v/>
      </c>
      <c r="Q367" s="38" t="str">
        <f>IF(ISNUMBER(H367),IF(INT(H367)=H367,H367,"ERREUR"),IF(ISBLANK(H367),IF(ISBLANK(H368),T(H367),"ERREUR"),"ERREUR"))</f>
        <v/>
      </c>
      <c r="R367" s="38"/>
      <c r="S367" s="38"/>
      <c r="T367" s="38"/>
      <c r="U367" s="38"/>
      <c r="V367" s="38"/>
      <c r="W367" s="38"/>
      <c r="X367" s="53"/>
      <c r="Y367" s="42"/>
      <c r="Z367" s="42"/>
      <c r="AA367" s="42"/>
    </row>
    <row r="368" ht="13.75" customHeight="1">
      <c r="A368" s="14" t="s">
        <v>140</v>
      </c>
      <c r="B368" s="50"/>
      <c r="C368" s="43"/>
      <c r="D368" s="43"/>
      <c r="E368" s="44"/>
      <c r="F368" s="44"/>
      <c r="G368" s="44"/>
      <c r="H368" s="45"/>
      <c r="I368" s="54"/>
      <c r="J368" s="47" t="str">
        <f>IF(OR(K368="ERREUR",L368="ERREUR",M368="ERREUR",N368="ERREUR",O368="ERREUR",P368="ERREUR",Q368="ERREUR"),"ERREUR",IF(AND(K368="",L368="",M368="",N368="",O368="",P368="",Q368=""),"ligne vide",IF(OR(K368="",L368="",M368="",N368="",O368="",P368="",Q368=""),"ligne incomplète","Valide")))</f>
        <v xml:space="preserve">ligne vide</v>
      </c>
      <c r="K368" s="48" t="str">
        <f>IF(ISBLANK(B368),IF(ISBLANK(B369),T(B368),"ERREUR"),IF(ISNUMBER(B368),_xlfn.NUMBERVALUE(B368),IF(ISTEXT(B368),VALUE(B368),"ERREUR")))</f>
        <v/>
      </c>
      <c r="L368" s="38" t="str">
        <f>IF(COUNTIF($R$4:$R$6,C368)&gt;0,C368,IF(ISBLANK(C368),IF(ISBLANK(D368),T(C368),"ERREUR"),"ERREUR"))</f>
        <v/>
      </c>
      <c r="M368" s="49" t="str">
        <f>IF(ISBLANK(D368),IF(ISBLANK(D369),T(D368),"ERREUR"),IF(COUNTIF($T$4:$T$240,SUBSTITUTE(SUBSTITUTE(SUBSTITUTE(SUBSTITUTE(SUBSTITUTE(SUBSTITUTE(UPPER(D368),"Å","A"),"É","E"),"È","E"),"Ê","E"),"Î","I"),"Ï","I"))&gt;0,D368,IF(ISBLANK(D368),T(D368),"ERREUR")))</f>
        <v/>
      </c>
      <c r="N368" s="38" t="str">
        <f>IF(COUNTIF($V$4:$V$6,E368)&gt;0,E368,IF(ISBLANK(E368),IF(ISBLANK(E369),T(E368),"ERREUR"),"ERREUR"))</f>
        <v/>
      </c>
      <c r="O368" s="38" t="str">
        <f>IF(COUNTIF($W$4:$W$5,F368)&gt;0,F368,IF(ISBLANK(F368),IF(ISBLANK(F369),T(F368),"ERREUR"),"ERREUR"))</f>
        <v/>
      </c>
      <c r="P368" s="38" t="str">
        <f>IF(COUNTIF($X$4:$X$8,G368)&gt;0,G368,IF(ISBLANK(G368),IF(ISBLANK(G369),T(G368),"ERREUR"),"ERREUR"))</f>
        <v/>
      </c>
      <c r="Q368" s="38" t="str">
        <f>IF(ISNUMBER(H368),IF(INT(H368)=H368,H368,"ERREUR"),IF(ISBLANK(H368),IF(ISBLANK(H369),T(H368),"ERREUR"),"ERREUR"))</f>
        <v/>
      </c>
      <c r="R368" s="38"/>
      <c r="S368" s="38"/>
      <c r="T368" s="38"/>
      <c r="U368" s="38"/>
      <c r="V368" s="38"/>
      <c r="W368" s="38"/>
      <c r="X368" s="53"/>
      <c r="Y368" s="42"/>
      <c r="Z368" s="42"/>
      <c r="AA368" s="42"/>
    </row>
    <row r="369" ht="13.75" customHeight="1">
      <c r="A369" s="14" t="s">
        <v>140</v>
      </c>
      <c r="B369" s="50"/>
      <c r="C369" s="43"/>
      <c r="D369" s="43"/>
      <c r="E369" s="44"/>
      <c r="F369" s="44"/>
      <c r="G369" s="44"/>
      <c r="H369" s="45"/>
      <c r="I369" s="54"/>
      <c r="J369" s="47" t="str">
        <f>IF(OR(K369="ERREUR",L369="ERREUR",M369="ERREUR",N369="ERREUR",O369="ERREUR",P369="ERREUR",Q369="ERREUR"),"ERREUR",IF(AND(K369="",L369="",M369="",N369="",O369="",P369="",Q369=""),"ligne vide",IF(OR(K369="",L369="",M369="",N369="",O369="",P369="",Q369=""),"ligne incomplète","Valide")))</f>
        <v xml:space="preserve">ligne vide</v>
      </c>
      <c r="K369" s="48" t="str">
        <f>IF(ISBLANK(B369),IF(ISBLANK(B370),T(B369),"ERREUR"),IF(ISNUMBER(B369),_xlfn.NUMBERVALUE(B369),IF(ISTEXT(B369),VALUE(B369),"ERREUR")))</f>
        <v/>
      </c>
      <c r="L369" s="38" t="str">
        <f>IF(COUNTIF($R$4:$R$6,C369)&gt;0,C369,IF(ISBLANK(C369),IF(ISBLANK(D369),T(C369),"ERREUR"),"ERREUR"))</f>
        <v/>
      </c>
      <c r="M369" s="49" t="str">
        <f>IF(ISBLANK(D369),IF(ISBLANK(D370),T(D369),"ERREUR"),IF(COUNTIF($T$4:$T$240,SUBSTITUTE(SUBSTITUTE(SUBSTITUTE(SUBSTITUTE(SUBSTITUTE(SUBSTITUTE(UPPER(D369),"Å","A"),"É","E"),"È","E"),"Ê","E"),"Î","I"),"Ï","I"))&gt;0,D369,IF(ISBLANK(D369),T(D369),"ERREUR")))</f>
        <v/>
      </c>
      <c r="N369" s="38" t="str">
        <f>IF(COUNTIF($V$4:$V$6,E369)&gt;0,E369,IF(ISBLANK(E369),IF(ISBLANK(E370),T(E369),"ERREUR"),"ERREUR"))</f>
        <v/>
      </c>
      <c r="O369" s="38" t="str">
        <f>IF(COUNTIF($W$4:$W$5,F369)&gt;0,F369,IF(ISBLANK(F369),IF(ISBLANK(F370),T(F369),"ERREUR"),"ERREUR"))</f>
        <v/>
      </c>
      <c r="P369" s="38" t="str">
        <f>IF(COUNTIF($X$4:$X$8,G369)&gt;0,G369,IF(ISBLANK(G369),IF(ISBLANK(G370),T(G369),"ERREUR"),"ERREUR"))</f>
        <v/>
      </c>
      <c r="Q369" s="38" t="str">
        <f>IF(ISNUMBER(H369),IF(INT(H369)=H369,H369,"ERREUR"),IF(ISBLANK(H369),IF(ISBLANK(H370),T(H369),"ERREUR"),"ERREUR"))</f>
        <v/>
      </c>
      <c r="R369" s="38"/>
      <c r="S369" s="38"/>
      <c r="T369" s="38"/>
      <c r="U369" s="38"/>
      <c r="V369" s="38"/>
      <c r="W369" s="38"/>
      <c r="X369" s="53"/>
      <c r="Y369" s="42"/>
      <c r="Z369" s="42"/>
      <c r="AA369" s="42"/>
    </row>
    <row r="370" ht="13.75" customHeight="1">
      <c r="A370" s="14" t="s">
        <v>140</v>
      </c>
      <c r="B370" s="50"/>
      <c r="C370" s="43"/>
      <c r="D370" s="43"/>
      <c r="E370" s="44"/>
      <c r="F370" s="44"/>
      <c r="G370" s="44"/>
      <c r="H370" s="45"/>
      <c r="I370" s="54"/>
      <c r="J370" s="47" t="str">
        <f>IF(OR(K370="ERREUR",L370="ERREUR",M370="ERREUR",N370="ERREUR",O370="ERREUR",P370="ERREUR",Q370="ERREUR"),"ERREUR",IF(AND(K370="",L370="",M370="",N370="",O370="",P370="",Q370=""),"ligne vide",IF(OR(K370="",L370="",M370="",N370="",O370="",P370="",Q370=""),"ligne incomplète","Valide")))</f>
        <v xml:space="preserve">ligne vide</v>
      </c>
      <c r="K370" s="48" t="str">
        <f>IF(ISBLANK(B370),IF(ISBLANK(B371),T(B370),"ERREUR"),IF(ISNUMBER(B370),_xlfn.NUMBERVALUE(B370),IF(ISTEXT(B370),VALUE(B370),"ERREUR")))</f>
        <v/>
      </c>
      <c r="L370" s="38" t="str">
        <f>IF(COUNTIF($R$4:$R$6,C370)&gt;0,C370,IF(ISBLANK(C370),IF(ISBLANK(D370),T(C370),"ERREUR"),"ERREUR"))</f>
        <v/>
      </c>
      <c r="M370" s="49" t="str">
        <f>IF(ISBLANK(D370),IF(ISBLANK(D371),T(D370),"ERREUR"),IF(COUNTIF($T$4:$T$240,SUBSTITUTE(SUBSTITUTE(SUBSTITUTE(SUBSTITUTE(SUBSTITUTE(SUBSTITUTE(UPPER(D370),"Å","A"),"É","E"),"È","E"),"Ê","E"),"Î","I"),"Ï","I"))&gt;0,D370,IF(ISBLANK(D370),T(D370),"ERREUR")))</f>
        <v/>
      </c>
      <c r="N370" s="38" t="str">
        <f>IF(COUNTIF($V$4:$V$6,E370)&gt;0,E370,IF(ISBLANK(E370),IF(ISBLANK(E371),T(E370),"ERREUR"),"ERREUR"))</f>
        <v/>
      </c>
      <c r="O370" s="38" t="str">
        <f>IF(COUNTIF($W$4:$W$5,F370)&gt;0,F370,IF(ISBLANK(F370),IF(ISBLANK(F371),T(F370),"ERREUR"),"ERREUR"))</f>
        <v/>
      </c>
      <c r="P370" s="38" t="str">
        <f>IF(COUNTIF($X$4:$X$8,G370)&gt;0,G370,IF(ISBLANK(G370),IF(ISBLANK(G371),T(G370),"ERREUR"),"ERREUR"))</f>
        <v/>
      </c>
      <c r="Q370" s="38" t="str">
        <f>IF(ISNUMBER(H370),IF(INT(H370)=H370,H370,"ERREUR"),IF(ISBLANK(H370),IF(ISBLANK(H371),T(H370),"ERREUR"),"ERREUR"))</f>
        <v/>
      </c>
      <c r="R370" s="38"/>
      <c r="S370" s="38"/>
      <c r="T370" s="38"/>
      <c r="U370" s="38"/>
      <c r="V370" s="38"/>
      <c r="W370" s="38"/>
      <c r="X370" s="53"/>
      <c r="Y370" s="42"/>
      <c r="Z370" s="42"/>
      <c r="AA370" s="42"/>
    </row>
    <row r="371" ht="13.75" customHeight="1">
      <c r="A371" s="14" t="s">
        <v>140</v>
      </c>
      <c r="B371" s="50"/>
      <c r="C371" s="43"/>
      <c r="D371" s="43"/>
      <c r="E371" s="44"/>
      <c r="F371" s="44"/>
      <c r="G371" s="44"/>
      <c r="H371" s="45"/>
      <c r="I371" s="54"/>
      <c r="J371" s="47" t="str">
        <f>IF(OR(K371="ERREUR",L371="ERREUR",M371="ERREUR",N371="ERREUR",O371="ERREUR",P371="ERREUR",Q371="ERREUR"),"ERREUR",IF(AND(K371="",L371="",M371="",N371="",O371="",P371="",Q371=""),"ligne vide",IF(OR(K371="",L371="",M371="",N371="",O371="",P371="",Q371=""),"ligne incomplète","Valide")))</f>
        <v xml:space="preserve">ligne vide</v>
      </c>
      <c r="K371" s="48" t="str">
        <f>IF(ISBLANK(B371),IF(ISBLANK(B372),T(B371),"ERREUR"),IF(ISNUMBER(B371),_xlfn.NUMBERVALUE(B371),IF(ISTEXT(B371),VALUE(B371),"ERREUR")))</f>
        <v/>
      </c>
      <c r="L371" s="38" t="str">
        <f>IF(COUNTIF($R$4:$R$6,C371)&gt;0,C371,IF(ISBLANK(C371),IF(ISBLANK(D371),T(C371),"ERREUR"),"ERREUR"))</f>
        <v/>
      </c>
      <c r="M371" s="49" t="str">
        <f>IF(ISBLANK(D371),IF(ISBLANK(D372),T(D371),"ERREUR"),IF(COUNTIF($T$4:$T$240,SUBSTITUTE(SUBSTITUTE(SUBSTITUTE(SUBSTITUTE(SUBSTITUTE(SUBSTITUTE(UPPER(D371),"Å","A"),"É","E"),"È","E"),"Ê","E"),"Î","I"),"Ï","I"))&gt;0,D371,IF(ISBLANK(D371),T(D371),"ERREUR")))</f>
        <v/>
      </c>
      <c r="N371" s="38" t="str">
        <f>IF(COUNTIF($V$4:$V$6,E371)&gt;0,E371,IF(ISBLANK(E371),IF(ISBLANK(E372),T(E371),"ERREUR"),"ERREUR"))</f>
        <v/>
      </c>
      <c r="O371" s="38" t="str">
        <f>IF(COUNTIF($W$4:$W$5,F371)&gt;0,F371,IF(ISBLANK(F371),IF(ISBLANK(F372),T(F371),"ERREUR"),"ERREUR"))</f>
        <v/>
      </c>
      <c r="P371" s="38" t="str">
        <f>IF(COUNTIF($X$4:$X$8,G371)&gt;0,G371,IF(ISBLANK(G371),IF(ISBLANK(G372),T(G371),"ERREUR"),"ERREUR"))</f>
        <v/>
      </c>
      <c r="Q371" s="38" t="str">
        <f>IF(ISNUMBER(H371),IF(INT(H371)=H371,H371,"ERREUR"),IF(ISBLANK(H371),IF(ISBLANK(H372),T(H371),"ERREUR"),"ERREUR"))</f>
        <v/>
      </c>
      <c r="R371" s="38"/>
      <c r="S371" s="38"/>
      <c r="T371" s="38"/>
      <c r="U371" s="38"/>
      <c r="V371" s="38"/>
      <c r="W371" s="38"/>
      <c r="X371" s="53"/>
      <c r="Y371" s="42"/>
      <c r="Z371" s="42"/>
      <c r="AA371" s="42"/>
    </row>
    <row r="372" ht="13.75" customHeight="1">
      <c r="A372" s="14" t="s">
        <v>140</v>
      </c>
      <c r="B372" s="50"/>
      <c r="C372" s="43"/>
      <c r="D372" s="43"/>
      <c r="E372" s="44"/>
      <c r="F372" s="44"/>
      <c r="G372" s="44"/>
      <c r="H372" s="45"/>
      <c r="I372" s="54"/>
      <c r="J372" s="47" t="str">
        <f>IF(OR(K372="ERREUR",L372="ERREUR",M372="ERREUR",N372="ERREUR",O372="ERREUR",P372="ERREUR",Q372="ERREUR"),"ERREUR",IF(AND(K372="",L372="",M372="",N372="",O372="",P372="",Q372=""),"ligne vide",IF(OR(K372="",L372="",M372="",N372="",O372="",P372="",Q372=""),"ligne incomplète","Valide")))</f>
        <v xml:space="preserve">ligne vide</v>
      </c>
      <c r="K372" s="48" t="str">
        <f>IF(ISBLANK(B372),IF(ISBLANK(B373),T(B372),"ERREUR"),IF(ISNUMBER(B372),_xlfn.NUMBERVALUE(B372),IF(ISTEXT(B372),VALUE(B372),"ERREUR")))</f>
        <v/>
      </c>
      <c r="L372" s="38" t="str">
        <f>IF(COUNTIF($R$4:$R$6,C372)&gt;0,C372,IF(ISBLANK(C372),IF(ISBLANK(D372),T(C372),"ERREUR"),"ERREUR"))</f>
        <v/>
      </c>
      <c r="M372" s="49" t="str">
        <f>IF(ISBLANK(D372),IF(ISBLANK(D373),T(D372),"ERREUR"),IF(COUNTIF($T$4:$T$240,SUBSTITUTE(SUBSTITUTE(SUBSTITUTE(SUBSTITUTE(SUBSTITUTE(SUBSTITUTE(UPPER(D372),"Å","A"),"É","E"),"È","E"),"Ê","E"),"Î","I"),"Ï","I"))&gt;0,D372,IF(ISBLANK(D372),T(D372),"ERREUR")))</f>
        <v/>
      </c>
      <c r="N372" s="38" t="str">
        <f>IF(COUNTIF($V$4:$V$6,E372)&gt;0,E372,IF(ISBLANK(E372),IF(ISBLANK(E373),T(E372),"ERREUR"),"ERREUR"))</f>
        <v/>
      </c>
      <c r="O372" s="38" t="str">
        <f>IF(COUNTIF($W$4:$W$5,F372)&gt;0,F372,IF(ISBLANK(F372),IF(ISBLANK(F373),T(F372),"ERREUR"),"ERREUR"))</f>
        <v/>
      </c>
      <c r="P372" s="38" t="str">
        <f>IF(COUNTIF($X$4:$X$8,G372)&gt;0,G372,IF(ISBLANK(G372),IF(ISBLANK(G373),T(G372),"ERREUR"),"ERREUR"))</f>
        <v/>
      </c>
      <c r="Q372" s="38" t="str">
        <f>IF(ISNUMBER(H372),IF(INT(H372)=H372,H372,"ERREUR"),IF(ISBLANK(H372),IF(ISBLANK(H373),T(H372),"ERREUR"),"ERREUR"))</f>
        <v/>
      </c>
      <c r="R372" s="38"/>
      <c r="S372" s="38"/>
      <c r="T372" s="38"/>
      <c r="U372" s="38"/>
      <c r="V372" s="38"/>
      <c r="W372" s="38"/>
      <c r="X372" s="53"/>
      <c r="Y372" s="42"/>
      <c r="Z372" s="42"/>
      <c r="AA372" s="42"/>
    </row>
    <row r="373" ht="13.75" customHeight="1">
      <c r="A373" s="14" t="s">
        <v>140</v>
      </c>
      <c r="B373" s="50"/>
      <c r="C373" s="43"/>
      <c r="D373" s="43"/>
      <c r="E373" s="44"/>
      <c r="F373" s="44"/>
      <c r="G373" s="44"/>
      <c r="H373" s="45"/>
      <c r="I373" s="54"/>
      <c r="J373" s="47" t="str">
        <f>IF(OR(K373="ERREUR",L373="ERREUR",M373="ERREUR",N373="ERREUR",O373="ERREUR",P373="ERREUR",Q373="ERREUR"),"ERREUR",IF(AND(K373="",L373="",M373="",N373="",O373="",P373="",Q373=""),"ligne vide",IF(OR(K373="",L373="",M373="",N373="",O373="",P373="",Q373=""),"ligne incomplète","Valide")))</f>
        <v xml:space="preserve">ligne vide</v>
      </c>
      <c r="K373" s="48" t="str">
        <f>IF(ISBLANK(B373),IF(ISBLANK(B374),T(B373),"ERREUR"),IF(ISNUMBER(B373),_xlfn.NUMBERVALUE(B373),IF(ISTEXT(B373),VALUE(B373),"ERREUR")))</f>
        <v/>
      </c>
      <c r="L373" s="38" t="str">
        <f>IF(COUNTIF($R$4:$R$6,C373)&gt;0,C373,IF(ISBLANK(C373),IF(ISBLANK(D373),T(C373),"ERREUR"),"ERREUR"))</f>
        <v/>
      </c>
      <c r="M373" s="49" t="str">
        <f>IF(ISBLANK(D373),IF(ISBLANK(D374),T(D373),"ERREUR"),IF(COUNTIF($T$4:$T$240,SUBSTITUTE(SUBSTITUTE(SUBSTITUTE(SUBSTITUTE(SUBSTITUTE(SUBSTITUTE(UPPER(D373),"Å","A"),"É","E"),"È","E"),"Ê","E"),"Î","I"),"Ï","I"))&gt;0,D373,IF(ISBLANK(D373),T(D373),"ERREUR")))</f>
        <v/>
      </c>
      <c r="N373" s="38" t="str">
        <f>IF(COUNTIF($V$4:$V$6,E373)&gt;0,E373,IF(ISBLANK(E373),IF(ISBLANK(E374),T(E373),"ERREUR"),"ERREUR"))</f>
        <v/>
      </c>
      <c r="O373" s="38" t="str">
        <f>IF(COUNTIF($W$4:$W$5,F373)&gt;0,F373,IF(ISBLANK(F373),IF(ISBLANK(F374),T(F373),"ERREUR"),"ERREUR"))</f>
        <v/>
      </c>
      <c r="P373" s="38" t="str">
        <f>IF(COUNTIF($X$4:$X$8,G373)&gt;0,G373,IF(ISBLANK(G373),IF(ISBLANK(G374),T(G373),"ERREUR"),"ERREUR"))</f>
        <v/>
      </c>
      <c r="Q373" s="38" t="str">
        <f>IF(ISNUMBER(H373),IF(INT(H373)=H373,H373,"ERREUR"),IF(ISBLANK(H373),IF(ISBLANK(H374),T(H373),"ERREUR"),"ERREUR"))</f>
        <v/>
      </c>
      <c r="R373" s="38"/>
      <c r="S373" s="38"/>
      <c r="T373" s="38"/>
      <c r="U373" s="38"/>
      <c r="V373" s="38"/>
      <c r="W373" s="38"/>
      <c r="X373" s="53"/>
      <c r="Y373" s="42"/>
      <c r="Z373" s="42"/>
      <c r="AA373" s="42"/>
    </row>
    <row r="374" ht="13.75" customHeight="1">
      <c r="A374" s="14" t="s">
        <v>140</v>
      </c>
      <c r="B374" s="50"/>
      <c r="C374" s="43"/>
      <c r="D374" s="43"/>
      <c r="E374" s="44"/>
      <c r="F374" s="44"/>
      <c r="G374" s="44"/>
      <c r="H374" s="45"/>
      <c r="I374" s="54"/>
      <c r="J374" s="47" t="str">
        <f>IF(OR(K374="ERREUR",L374="ERREUR",M374="ERREUR",N374="ERREUR",O374="ERREUR",P374="ERREUR",Q374="ERREUR"),"ERREUR",IF(AND(K374="",L374="",M374="",N374="",O374="",P374="",Q374=""),"ligne vide",IF(OR(K374="",L374="",M374="",N374="",O374="",P374="",Q374=""),"ligne incomplète","Valide")))</f>
        <v xml:space="preserve">ligne vide</v>
      </c>
      <c r="K374" s="48" t="str">
        <f>IF(ISBLANK(B374),IF(ISBLANK(B375),T(B374),"ERREUR"),IF(ISNUMBER(B374),_xlfn.NUMBERVALUE(B374),IF(ISTEXT(B374),VALUE(B374),"ERREUR")))</f>
        <v/>
      </c>
      <c r="L374" s="38" t="str">
        <f>IF(COUNTIF($R$4:$R$6,C374)&gt;0,C374,IF(ISBLANK(C374),IF(ISBLANK(D374),T(C374),"ERREUR"),"ERREUR"))</f>
        <v/>
      </c>
      <c r="M374" s="49" t="str">
        <f>IF(ISBLANK(D374),IF(ISBLANK(D375),T(D374),"ERREUR"),IF(COUNTIF($T$4:$T$240,SUBSTITUTE(SUBSTITUTE(SUBSTITUTE(SUBSTITUTE(SUBSTITUTE(SUBSTITUTE(UPPER(D374),"Å","A"),"É","E"),"È","E"),"Ê","E"),"Î","I"),"Ï","I"))&gt;0,D374,IF(ISBLANK(D374),T(D374),"ERREUR")))</f>
        <v/>
      </c>
      <c r="N374" s="38" t="str">
        <f>IF(COUNTIF($V$4:$V$6,E374)&gt;0,E374,IF(ISBLANK(E374),IF(ISBLANK(E375),T(E374),"ERREUR"),"ERREUR"))</f>
        <v/>
      </c>
      <c r="O374" s="38" t="str">
        <f>IF(COUNTIF($W$4:$W$5,F374)&gt;0,F374,IF(ISBLANK(F374),IF(ISBLANK(F375),T(F374),"ERREUR"),"ERREUR"))</f>
        <v/>
      </c>
      <c r="P374" s="38" t="str">
        <f>IF(COUNTIF($X$4:$X$8,G374)&gt;0,G374,IF(ISBLANK(G374),IF(ISBLANK(G375),T(G374),"ERREUR"),"ERREUR"))</f>
        <v/>
      </c>
      <c r="Q374" s="38" t="str">
        <f>IF(ISNUMBER(H374),IF(INT(H374)=H374,H374,"ERREUR"),IF(ISBLANK(H374),IF(ISBLANK(H375),T(H374),"ERREUR"),"ERREUR"))</f>
        <v/>
      </c>
      <c r="R374" s="38"/>
      <c r="S374" s="38"/>
      <c r="T374" s="38"/>
      <c r="U374" s="38"/>
      <c r="V374" s="38"/>
      <c r="W374" s="38"/>
      <c r="X374" s="53"/>
      <c r="Y374" s="42"/>
      <c r="Z374" s="42"/>
      <c r="AA374" s="42"/>
    </row>
    <row r="375" ht="13.75" customHeight="1">
      <c r="A375" s="14" t="s">
        <v>140</v>
      </c>
      <c r="B375" s="50"/>
      <c r="C375" s="43"/>
      <c r="D375" s="43"/>
      <c r="E375" s="44"/>
      <c r="F375" s="44"/>
      <c r="G375" s="44"/>
      <c r="H375" s="45"/>
      <c r="I375" s="54"/>
      <c r="J375" s="47" t="str">
        <f>IF(OR(K375="ERREUR",L375="ERREUR",M375="ERREUR",N375="ERREUR",O375="ERREUR",P375="ERREUR",Q375="ERREUR"),"ERREUR",IF(AND(K375="",L375="",M375="",N375="",O375="",P375="",Q375=""),"ligne vide",IF(OR(K375="",L375="",M375="",N375="",O375="",P375="",Q375=""),"ligne incomplète","Valide")))</f>
        <v xml:space="preserve">ligne vide</v>
      </c>
      <c r="K375" s="48" t="str">
        <f>IF(ISBLANK(B375),IF(ISBLANK(B376),T(B375),"ERREUR"),IF(ISNUMBER(B375),_xlfn.NUMBERVALUE(B375),IF(ISTEXT(B375),VALUE(B375),"ERREUR")))</f>
        <v/>
      </c>
      <c r="L375" s="38" t="str">
        <f>IF(COUNTIF($R$4:$R$6,C375)&gt;0,C375,IF(ISBLANK(C375),IF(ISBLANK(D375),T(C375),"ERREUR"),"ERREUR"))</f>
        <v/>
      </c>
      <c r="M375" s="49" t="str">
        <f>IF(ISBLANK(D375),IF(ISBLANK(D376),T(D375),"ERREUR"),IF(COUNTIF($T$4:$T$240,SUBSTITUTE(SUBSTITUTE(SUBSTITUTE(SUBSTITUTE(SUBSTITUTE(SUBSTITUTE(UPPER(D375),"Å","A"),"É","E"),"È","E"),"Ê","E"),"Î","I"),"Ï","I"))&gt;0,D375,IF(ISBLANK(D375),T(D375),"ERREUR")))</f>
        <v/>
      </c>
      <c r="N375" s="38" t="str">
        <f>IF(COUNTIF($V$4:$V$6,E375)&gt;0,E375,IF(ISBLANK(E375),IF(ISBLANK(E376),T(E375),"ERREUR"),"ERREUR"))</f>
        <v/>
      </c>
      <c r="O375" s="38" t="str">
        <f>IF(COUNTIF($W$4:$W$5,F375)&gt;0,F375,IF(ISBLANK(F375),IF(ISBLANK(F376),T(F375),"ERREUR"),"ERREUR"))</f>
        <v/>
      </c>
      <c r="P375" s="38" t="str">
        <f>IF(COUNTIF($X$4:$X$8,G375)&gt;0,G375,IF(ISBLANK(G375),IF(ISBLANK(G376),T(G375),"ERREUR"),"ERREUR"))</f>
        <v/>
      </c>
      <c r="Q375" s="38" t="str">
        <f>IF(ISNUMBER(H375),IF(INT(H375)=H375,H375,"ERREUR"),IF(ISBLANK(H375),IF(ISBLANK(H376),T(H375),"ERREUR"),"ERREUR"))</f>
        <v/>
      </c>
      <c r="R375" s="38"/>
      <c r="S375" s="38"/>
      <c r="T375" s="38"/>
      <c r="U375" s="38"/>
      <c r="V375" s="38"/>
      <c r="W375" s="38"/>
      <c r="X375" s="53"/>
      <c r="Y375" s="42"/>
      <c r="Z375" s="42"/>
      <c r="AA375" s="42"/>
    </row>
    <row r="376" ht="13.75" customHeight="1">
      <c r="A376" s="14" t="s">
        <v>140</v>
      </c>
      <c r="B376" s="50"/>
      <c r="C376" s="43"/>
      <c r="D376" s="43"/>
      <c r="E376" s="44"/>
      <c r="F376" s="44"/>
      <c r="G376" s="44"/>
      <c r="H376" s="45"/>
      <c r="I376" s="54"/>
      <c r="J376" s="47" t="str">
        <f>IF(OR(K376="ERREUR",L376="ERREUR",M376="ERREUR",N376="ERREUR",O376="ERREUR",P376="ERREUR",Q376="ERREUR"),"ERREUR",IF(AND(K376="",L376="",M376="",N376="",O376="",P376="",Q376=""),"ligne vide",IF(OR(K376="",L376="",M376="",N376="",O376="",P376="",Q376=""),"ligne incomplète","Valide")))</f>
        <v xml:space="preserve">ligne vide</v>
      </c>
      <c r="K376" s="48" t="str">
        <f>IF(ISBLANK(B376),IF(ISBLANK(B377),T(B376),"ERREUR"),IF(ISNUMBER(B376),_xlfn.NUMBERVALUE(B376),IF(ISTEXT(B376),VALUE(B376),"ERREUR")))</f>
        <v/>
      </c>
      <c r="L376" s="38" t="str">
        <f>IF(COUNTIF($R$4:$R$6,C376)&gt;0,C376,IF(ISBLANK(C376),IF(ISBLANK(D376),T(C376),"ERREUR"),"ERREUR"))</f>
        <v/>
      </c>
      <c r="M376" s="49" t="str">
        <f>IF(ISBLANK(D376),IF(ISBLANK(D377),T(D376),"ERREUR"),IF(COUNTIF($T$4:$T$240,SUBSTITUTE(SUBSTITUTE(SUBSTITUTE(SUBSTITUTE(SUBSTITUTE(SUBSTITUTE(UPPER(D376),"Å","A"),"É","E"),"È","E"),"Ê","E"),"Î","I"),"Ï","I"))&gt;0,D376,IF(ISBLANK(D376),T(D376),"ERREUR")))</f>
        <v/>
      </c>
      <c r="N376" s="38" t="str">
        <f>IF(COUNTIF($V$4:$V$6,E376)&gt;0,E376,IF(ISBLANK(E376),IF(ISBLANK(E377),T(E376),"ERREUR"),"ERREUR"))</f>
        <v/>
      </c>
      <c r="O376" s="38" t="str">
        <f>IF(COUNTIF($W$4:$W$5,F376)&gt;0,F376,IF(ISBLANK(F376),IF(ISBLANK(F377),T(F376),"ERREUR"),"ERREUR"))</f>
        <v/>
      </c>
      <c r="P376" s="38" t="str">
        <f>IF(COUNTIF($X$4:$X$8,G376)&gt;0,G376,IF(ISBLANK(G376),IF(ISBLANK(G377),T(G376),"ERREUR"),"ERREUR"))</f>
        <v/>
      </c>
      <c r="Q376" s="38" t="str">
        <f>IF(ISNUMBER(H376),IF(INT(H376)=H376,H376,"ERREUR"),IF(ISBLANK(H376),IF(ISBLANK(H377),T(H376),"ERREUR"),"ERREUR"))</f>
        <v/>
      </c>
      <c r="R376" s="38"/>
      <c r="S376" s="38"/>
      <c r="T376" s="38"/>
      <c r="U376" s="38"/>
      <c r="V376" s="38"/>
      <c r="W376" s="38"/>
      <c r="X376" s="53"/>
      <c r="Y376" s="42"/>
      <c r="Z376" s="42"/>
      <c r="AA376" s="42"/>
    </row>
    <row r="377" ht="13.75" customHeight="1">
      <c r="A377" s="14" t="s">
        <v>140</v>
      </c>
      <c r="B377" s="50"/>
      <c r="C377" s="43"/>
      <c r="D377" s="43"/>
      <c r="E377" s="44"/>
      <c r="F377" s="44"/>
      <c r="G377" s="44"/>
      <c r="H377" s="45"/>
      <c r="I377" s="54"/>
      <c r="J377" s="47" t="str">
        <f>IF(OR(K377="ERREUR",L377="ERREUR",M377="ERREUR",N377="ERREUR",O377="ERREUR",P377="ERREUR",Q377="ERREUR"),"ERREUR",IF(AND(K377="",L377="",M377="",N377="",O377="",P377="",Q377=""),"ligne vide",IF(OR(K377="",L377="",M377="",N377="",O377="",P377="",Q377=""),"ligne incomplète","Valide")))</f>
        <v xml:space="preserve">ligne vide</v>
      </c>
      <c r="K377" s="48" t="str">
        <f>IF(ISBLANK(B377),IF(ISBLANK(B378),T(B377),"ERREUR"),IF(ISNUMBER(B377),_xlfn.NUMBERVALUE(B377),IF(ISTEXT(B377),VALUE(B377),"ERREUR")))</f>
        <v/>
      </c>
      <c r="L377" s="38" t="str">
        <f>IF(COUNTIF($R$4:$R$6,C377)&gt;0,C377,IF(ISBLANK(C377),IF(ISBLANK(D377),T(C377),"ERREUR"),"ERREUR"))</f>
        <v/>
      </c>
      <c r="M377" s="49" t="str">
        <f>IF(ISBLANK(D377),IF(ISBLANK(D378),T(D377),"ERREUR"),IF(COUNTIF($T$4:$T$240,SUBSTITUTE(SUBSTITUTE(SUBSTITUTE(SUBSTITUTE(SUBSTITUTE(SUBSTITUTE(UPPER(D377),"Å","A"),"É","E"),"È","E"),"Ê","E"),"Î","I"),"Ï","I"))&gt;0,D377,IF(ISBLANK(D377),T(D377),"ERREUR")))</f>
        <v/>
      </c>
      <c r="N377" s="38" t="str">
        <f>IF(COUNTIF($V$4:$V$6,E377)&gt;0,E377,IF(ISBLANK(E377),IF(ISBLANK(E378),T(E377),"ERREUR"),"ERREUR"))</f>
        <v/>
      </c>
      <c r="O377" s="38" t="str">
        <f>IF(COUNTIF($W$4:$W$5,F377)&gt;0,F377,IF(ISBLANK(F377),IF(ISBLANK(F378),T(F377),"ERREUR"),"ERREUR"))</f>
        <v/>
      </c>
      <c r="P377" s="38" t="str">
        <f>IF(COUNTIF($X$4:$X$8,G377)&gt;0,G377,IF(ISBLANK(G377),IF(ISBLANK(G378),T(G377),"ERREUR"),"ERREUR"))</f>
        <v/>
      </c>
      <c r="Q377" s="38" t="str">
        <f>IF(ISNUMBER(H377),IF(INT(H377)=H377,H377,"ERREUR"),IF(ISBLANK(H377),IF(ISBLANK(H378),T(H377),"ERREUR"),"ERREUR"))</f>
        <v/>
      </c>
      <c r="R377" s="38"/>
      <c r="S377" s="38"/>
      <c r="T377" s="38"/>
      <c r="U377" s="38"/>
      <c r="V377" s="38"/>
      <c r="W377" s="38"/>
      <c r="X377" s="53"/>
      <c r="Y377" s="42"/>
      <c r="Z377" s="42"/>
      <c r="AA377" s="42"/>
    </row>
    <row r="378" ht="13.75" customHeight="1">
      <c r="A378" s="14" t="s">
        <v>140</v>
      </c>
      <c r="B378" s="50"/>
      <c r="C378" s="43"/>
      <c r="D378" s="43"/>
      <c r="E378" s="44"/>
      <c r="F378" s="44"/>
      <c r="G378" s="44"/>
      <c r="H378" s="45"/>
      <c r="I378" s="54"/>
      <c r="J378" s="47" t="str">
        <f>IF(OR(K378="ERREUR",L378="ERREUR",M378="ERREUR",N378="ERREUR",O378="ERREUR",P378="ERREUR",Q378="ERREUR"),"ERREUR",IF(AND(K378="",L378="",M378="",N378="",O378="",P378="",Q378=""),"ligne vide",IF(OR(K378="",L378="",M378="",N378="",O378="",P378="",Q378=""),"ligne incomplète","Valide")))</f>
        <v xml:space="preserve">ligne vide</v>
      </c>
      <c r="K378" s="48" t="str">
        <f>IF(ISBLANK(B378),IF(ISBLANK(B379),T(B378),"ERREUR"),IF(ISNUMBER(B378),_xlfn.NUMBERVALUE(B378),IF(ISTEXT(B378),VALUE(B378),"ERREUR")))</f>
        <v/>
      </c>
      <c r="L378" s="38" t="str">
        <f>IF(COUNTIF($R$4:$R$6,C378)&gt;0,C378,IF(ISBLANK(C378),IF(ISBLANK(D378),T(C378),"ERREUR"),"ERREUR"))</f>
        <v/>
      </c>
      <c r="M378" s="49" t="str">
        <f>IF(ISBLANK(D378),IF(ISBLANK(D379),T(D378),"ERREUR"),IF(COUNTIF($T$4:$T$240,SUBSTITUTE(SUBSTITUTE(SUBSTITUTE(SUBSTITUTE(SUBSTITUTE(SUBSTITUTE(UPPER(D378),"Å","A"),"É","E"),"È","E"),"Ê","E"),"Î","I"),"Ï","I"))&gt;0,D378,IF(ISBLANK(D378),T(D378),"ERREUR")))</f>
        <v/>
      </c>
      <c r="N378" s="38" t="str">
        <f>IF(COUNTIF($V$4:$V$6,E378)&gt;0,E378,IF(ISBLANK(E378),IF(ISBLANK(E379),T(E378),"ERREUR"),"ERREUR"))</f>
        <v/>
      </c>
      <c r="O378" s="38" t="str">
        <f>IF(COUNTIF($W$4:$W$5,F378)&gt;0,F378,IF(ISBLANK(F378),IF(ISBLANK(F379),T(F378),"ERREUR"),"ERREUR"))</f>
        <v/>
      </c>
      <c r="P378" s="38" t="str">
        <f>IF(COUNTIF($X$4:$X$8,G378)&gt;0,G378,IF(ISBLANK(G378),IF(ISBLANK(G379),T(G378),"ERREUR"),"ERREUR"))</f>
        <v/>
      </c>
      <c r="Q378" s="38" t="str">
        <f>IF(ISNUMBER(H378),IF(INT(H378)=H378,H378,"ERREUR"),IF(ISBLANK(H378),IF(ISBLANK(H379),T(H378),"ERREUR"),"ERREUR"))</f>
        <v/>
      </c>
      <c r="R378" s="38"/>
      <c r="S378" s="38"/>
      <c r="T378" s="38"/>
      <c r="U378" s="38"/>
      <c r="V378" s="38"/>
      <c r="W378" s="38"/>
      <c r="X378" s="53"/>
      <c r="Y378" s="42"/>
      <c r="Z378" s="42"/>
      <c r="AA378" s="42"/>
    </row>
    <row r="379" ht="13.75" customHeight="1">
      <c r="A379" s="14" t="s">
        <v>140</v>
      </c>
      <c r="B379" s="50"/>
      <c r="C379" s="43"/>
      <c r="D379" s="43"/>
      <c r="E379" s="44"/>
      <c r="F379" s="44"/>
      <c r="G379" s="44"/>
      <c r="H379" s="45"/>
      <c r="I379" s="54"/>
      <c r="J379" s="47" t="str">
        <f>IF(OR(K379="ERREUR",L379="ERREUR",M379="ERREUR",N379="ERREUR",O379="ERREUR",P379="ERREUR",Q379="ERREUR"),"ERREUR",IF(AND(K379="",L379="",M379="",N379="",O379="",P379="",Q379=""),"ligne vide",IF(OR(K379="",L379="",M379="",N379="",O379="",P379="",Q379=""),"ligne incomplète","Valide")))</f>
        <v xml:space="preserve">ligne vide</v>
      </c>
      <c r="K379" s="48" t="str">
        <f>IF(ISBLANK(B379),IF(ISBLANK(B380),T(B379),"ERREUR"),IF(ISNUMBER(B379),_xlfn.NUMBERVALUE(B379),IF(ISTEXT(B379),VALUE(B379),"ERREUR")))</f>
        <v/>
      </c>
      <c r="L379" s="38" t="str">
        <f>IF(COUNTIF($R$4:$R$6,C379)&gt;0,C379,IF(ISBLANK(C379),IF(ISBLANK(D379),T(C379),"ERREUR"),"ERREUR"))</f>
        <v/>
      </c>
      <c r="M379" s="49" t="str">
        <f>IF(ISBLANK(D379),IF(ISBLANK(D380),T(D379),"ERREUR"),IF(COUNTIF($T$4:$T$240,SUBSTITUTE(SUBSTITUTE(SUBSTITUTE(SUBSTITUTE(SUBSTITUTE(SUBSTITUTE(UPPER(D379),"Å","A"),"É","E"),"È","E"),"Ê","E"),"Î","I"),"Ï","I"))&gt;0,D379,IF(ISBLANK(D379),T(D379),"ERREUR")))</f>
        <v/>
      </c>
      <c r="N379" s="38" t="str">
        <f>IF(COUNTIF($V$4:$V$6,E379)&gt;0,E379,IF(ISBLANK(E379),IF(ISBLANK(E380),T(E379),"ERREUR"),"ERREUR"))</f>
        <v/>
      </c>
      <c r="O379" s="38" t="str">
        <f>IF(COUNTIF($W$4:$W$5,F379)&gt;0,F379,IF(ISBLANK(F379),IF(ISBLANK(F380),T(F379),"ERREUR"),"ERREUR"))</f>
        <v/>
      </c>
      <c r="P379" s="38" t="str">
        <f>IF(COUNTIF($X$4:$X$8,G379)&gt;0,G379,IF(ISBLANK(G379),IF(ISBLANK(G380),T(G379),"ERREUR"),"ERREUR"))</f>
        <v/>
      </c>
      <c r="Q379" s="38" t="str">
        <f>IF(ISNUMBER(H379),IF(INT(H379)=H379,H379,"ERREUR"),IF(ISBLANK(H379),IF(ISBLANK(H380),T(H379),"ERREUR"),"ERREUR"))</f>
        <v/>
      </c>
      <c r="R379" s="38"/>
      <c r="S379" s="38"/>
      <c r="T379" s="38"/>
      <c r="U379" s="38"/>
      <c r="V379" s="38"/>
      <c r="W379" s="38"/>
      <c r="X379" s="53"/>
      <c r="Y379" s="42"/>
      <c r="Z379" s="42"/>
      <c r="AA379" s="42"/>
    </row>
    <row r="380" ht="13.75" customHeight="1">
      <c r="A380" s="14" t="s">
        <v>140</v>
      </c>
      <c r="B380" s="50"/>
      <c r="C380" s="43"/>
      <c r="D380" s="43"/>
      <c r="E380" s="44"/>
      <c r="F380" s="44"/>
      <c r="G380" s="44"/>
      <c r="H380" s="45"/>
      <c r="I380" s="54"/>
      <c r="J380" s="47" t="str">
        <f>IF(OR(K380="ERREUR",L380="ERREUR",M380="ERREUR",N380="ERREUR",O380="ERREUR",P380="ERREUR",Q380="ERREUR"),"ERREUR",IF(AND(K380="",L380="",M380="",N380="",O380="",P380="",Q380=""),"ligne vide",IF(OR(K380="",L380="",M380="",N380="",O380="",P380="",Q380=""),"ligne incomplète","Valide")))</f>
        <v xml:space="preserve">ligne vide</v>
      </c>
      <c r="K380" s="48" t="str">
        <f>IF(ISBLANK(B380),IF(ISBLANK(B381),T(B380),"ERREUR"),IF(ISNUMBER(B380),_xlfn.NUMBERVALUE(B380),IF(ISTEXT(B380),VALUE(B380),"ERREUR")))</f>
        <v/>
      </c>
      <c r="L380" s="38" t="str">
        <f>IF(COUNTIF($R$4:$R$6,C380)&gt;0,C380,IF(ISBLANK(C380),IF(ISBLANK(D380),T(C380),"ERREUR"),"ERREUR"))</f>
        <v/>
      </c>
      <c r="M380" s="49" t="str">
        <f>IF(ISBLANK(D380),IF(ISBLANK(D381),T(D380),"ERREUR"),IF(COUNTIF($T$4:$T$240,SUBSTITUTE(SUBSTITUTE(SUBSTITUTE(SUBSTITUTE(SUBSTITUTE(SUBSTITUTE(UPPER(D380),"Å","A"),"É","E"),"È","E"),"Ê","E"),"Î","I"),"Ï","I"))&gt;0,D380,IF(ISBLANK(D380),T(D380),"ERREUR")))</f>
        <v/>
      </c>
      <c r="N380" s="38" t="str">
        <f>IF(COUNTIF($V$4:$V$6,E380)&gt;0,E380,IF(ISBLANK(E380),IF(ISBLANK(E381),T(E380),"ERREUR"),"ERREUR"))</f>
        <v/>
      </c>
      <c r="O380" s="38" t="str">
        <f>IF(COUNTIF($W$4:$W$5,F380)&gt;0,F380,IF(ISBLANK(F380),IF(ISBLANK(F381),T(F380),"ERREUR"),"ERREUR"))</f>
        <v/>
      </c>
      <c r="P380" s="38" t="str">
        <f>IF(COUNTIF($X$4:$X$8,G380)&gt;0,G380,IF(ISBLANK(G380),IF(ISBLANK(G381),T(G380),"ERREUR"),"ERREUR"))</f>
        <v/>
      </c>
      <c r="Q380" s="38" t="str">
        <f>IF(ISNUMBER(H380),IF(INT(H380)=H380,H380,"ERREUR"),IF(ISBLANK(H380),IF(ISBLANK(H381),T(H380),"ERREUR"),"ERREUR"))</f>
        <v/>
      </c>
      <c r="R380" s="38"/>
      <c r="S380" s="38"/>
      <c r="T380" s="38"/>
      <c r="U380" s="38"/>
      <c r="V380" s="38"/>
      <c r="W380" s="38"/>
      <c r="X380" s="53"/>
      <c r="Y380" s="42"/>
      <c r="Z380" s="42"/>
      <c r="AA380" s="42"/>
    </row>
    <row r="381" ht="13.75" customHeight="1">
      <c r="A381" s="14" t="s">
        <v>140</v>
      </c>
      <c r="B381" s="50"/>
      <c r="C381" s="43"/>
      <c r="D381" s="43"/>
      <c r="E381" s="44"/>
      <c r="F381" s="44"/>
      <c r="G381" s="44"/>
      <c r="H381" s="45"/>
      <c r="I381" s="54"/>
      <c r="J381" s="47" t="str">
        <f>IF(OR(K381="ERREUR",L381="ERREUR",M381="ERREUR",N381="ERREUR",O381="ERREUR",P381="ERREUR",Q381="ERREUR"),"ERREUR",IF(AND(K381="",L381="",M381="",N381="",O381="",P381="",Q381=""),"ligne vide",IF(OR(K381="",L381="",M381="",N381="",O381="",P381="",Q381=""),"ligne incomplète","Valide")))</f>
        <v xml:space="preserve">ligne vide</v>
      </c>
      <c r="K381" s="48" t="str">
        <f>IF(ISBLANK(B381),IF(ISBLANK(B382),T(B381),"ERREUR"),IF(ISNUMBER(B381),_xlfn.NUMBERVALUE(B381),IF(ISTEXT(B381),VALUE(B381),"ERREUR")))</f>
        <v/>
      </c>
      <c r="L381" s="38" t="str">
        <f>IF(COUNTIF($R$4:$R$6,C381)&gt;0,C381,IF(ISBLANK(C381),IF(ISBLANK(D381),T(C381),"ERREUR"),"ERREUR"))</f>
        <v/>
      </c>
      <c r="M381" s="49" t="str">
        <f>IF(ISBLANK(D381),IF(ISBLANK(D382),T(D381),"ERREUR"),IF(COUNTIF($T$4:$T$240,SUBSTITUTE(SUBSTITUTE(SUBSTITUTE(SUBSTITUTE(SUBSTITUTE(SUBSTITUTE(UPPER(D381),"Å","A"),"É","E"),"È","E"),"Ê","E"),"Î","I"),"Ï","I"))&gt;0,D381,IF(ISBLANK(D381),T(D381),"ERREUR")))</f>
        <v/>
      </c>
      <c r="N381" s="38" t="str">
        <f>IF(COUNTIF($V$4:$V$6,E381)&gt;0,E381,IF(ISBLANK(E381),IF(ISBLANK(E382),T(E381),"ERREUR"),"ERREUR"))</f>
        <v/>
      </c>
      <c r="O381" s="38" t="str">
        <f>IF(COUNTIF($W$4:$W$5,F381)&gt;0,F381,IF(ISBLANK(F381),IF(ISBLANK(F382),T(F381),"ERREUR"),"ERREUR"))</f>
        <v/>
      </c>
      <c r="P381" s="38" t="str">
        <f>IF(COUNTIF($X$4:$X$8,G381)&gt;0,G381,IF(ISBLANK(G381),IF(ISBLANK(G382),T(G381),"ERREUR"),"ERREUR"))</f>
        <v/>
      </c>
      <c r="Q381" s="38" t="str">
        <f>IF(ISNUMBER(H381),IF(INT(H381)=H381,H381,"ERREUR"),IF(ISBLANK(H381),IF(ISBLANK(H382),T(H381),"ERREUR"),"ERREUR"))</f>
        <v/>
      </c>
      <c r="R381" s="38"/>
      <c r="S381" s="38"/>
      <c r="T381" s="38"/>
      <c r="U381" s="38"/>
      <c r="V381" s="38"/>
      <c r="W381" s="38"/>
      <c r="X381" s="53"/>
      <c r="Y381" s="42"/>
      <c r="Z381" s="42"/>
      <c r="AA381" s="42"/>
    </row>
    <row r="382" ht="13.75" customHeight="1">
      <c r="A382" s="14" t="s">
        <v>140</v>
      </c>
      <c r="B382" s="50"/>
      <c r="C382" s="43"/>
      <c r="D382" s="43"/>
      <c r="E382" s="44"/>
      <c r="F382" s="44"/>
      <c r="G382" s="44"/>
      <c r="H382" s="45"/>
      <c r="I382" s="54"/>
      <c r="J382" s="47" t="str">
        <f>IF(OR(K382="ERREUR",L382="ERREUR",M382="ERREUR",N382="ERREUR",O382="ERREUR",P382="ERREUR",Q382="ERREUR"),"ERREUR",IF(AND(K382="",L382="",M382="",N382="",O382="",P382="",Q382=""),"ligne vide",IF(OR(K382="",L382="",M382="",N382="",O382="",P382="",Q382=""),"ligne incomplète","Valide")))</f>
        <v xml:space="preserve">ligne vide</v>
      </c>
      <c r="K382" s="48" t="str">
        <f>IF(ISBLANK(B382),IF(ISBLANK(B383),T(B382),"ERREUR"),IF(ISNUMBER(B382),_xlfn.NUMBERVALUE(B382),IF(ISTEXT(B382),VALUE(B382),"ERREUR")))</f>
        <v/>
      </c>
      <c r="L382" s="38" t="str">
        <f>IF(COUNTIF($R$4:$R$6,C382)&gt;0,C382,IF(ISBLANK(C382),IF(ISBLANK(D382),T(C382),"ERREUR"),"ERREUR"))</f>
        <v/>
      </c>
      <c r="M382" s="49" t="str">
        <f>IF(ISBLANK(D382),IF(ISBLANK(D383),T(D382),"ERREUR"),IF(COUNTIF($T$4:$T$240,SUBSTITUTE(SUBSTITUTE(SUBSTITUTE(SUBSTITUTE(SUBSTITUTE(SUBSTITUTE(UPPER(D382),"Å","A"),"É","E"),"È","E"),"Ê","E"),"Î","I"),"Ï","I"))&gt;0,D382,IF(ISBLANK(D382),T(D382),"ERREUR")))</f>
        <v/>
      </c>
      <c r="N382" s="38" t="str">
        <f>IF(COUNTIF($V$4:$V$6,E382)&gt;0,E382,IF(ISBLANK(E382),IF(ISBLANK(E383),T(E382),"ERREUR"),"ERREUR"))</f>
        <v/>
      </c>
      <c r="O382" s="38" t="str">
        <f>IF(COUNTIF($W$4:$W$5,F382)&gt;0,F382,IF(ISBLANK(F382),IF(ISBLANK(F383),T(F382),"ERREUR"),"ERREUR"))</f>
        <v/>
      </c>
      <c r="P382" s="38" t="str">
        <f>IF(COUNTIF($X$4:$X$8,G382)&gt;0,G382,IF(ISBLANK(G382),IF(ISBLANK(G383),T(G382),"ERREUR"),"ERREUR"))</f>
        <v/>
      </c>
      <c r="Q382" s="38" t="str">
        <f>IF(ISNUMBER(H382),IF(INT(H382)=H382,H382,"ERREUR"),IF(ISBLANK(H382),IF(ISBLANK(H383),T(H382),"ERREUR"),"ERREUR"))</f>
        <v/>
      </c>
      <c r="R382" s="38"/>
      <c r="S382" s="38"/>
      <c r="T382" s="38"/>
      <c r="U382" s="38"/>
      <c r="V382" s="38"/>
      <c r="W382" s="38"/>
      <c r="X382" s="53"/>
      <c r="Y382" s="42"/>
      <c r="Z382" s="42"/>
      <c r="AA382" s="42"/>
    </row>
    <row r="383" ht="13.75" customHeight="1">
      <c r="A383" s="14" t="s">
        <v>140</v>
      </c>
      <c r="B383" s="50"/>
      <c r="C383" s="43"/>
      <c r="D383" s="43"/>
      <c r="E383" s="44"/>
      <c r="F383" s="44"/>
      <c r="G383" s="44"/>
      <c r="H383" s="45"/>
      <c r="I383" s="54"/>
      <c r="J383" s="47" t="str">
        <f>IF(OR(K383="ERREUR",L383="ERREUR",M383="ERREUR",N383="ERREUR",O383="ERREUR",P383="ERREUR",Q383="ERREUR"),"ERREUR",IF(AND(K383="",L383="",M383="",N383="",O383="",P383="",Q383=""),"ligne vide",IF(OR(K383="",L383="",M383="",N383="",O383="",P383="",Q383=""),"ligne incomplète","Valide")))</f>
        <v xml:space="preserve">ligne vide</v>
      </c>
      <c r="K383" s="48" t="str">
        <f>IF(ISBLANK(B383),IF(ISBLANK(B384),T(B383),"ERREUR"),IF(ISNUMBER(B383),_xlfn.NUMBERVALUE(B383),IF(ISTEXT(B383),VALUE(B383),"ERREUR")))</f>
        <v/>
      </c>
      <c r="L383" s="38" t="str">
        <f>IF(COUNTIF($R$4:$R$6,C383)&gt;0,C383,IF(ISBLANK(C383),IF(ISBLANK(D383),T(C383),"ERREUR"),"ERREUR"))</f>
        <v/>
      </c>
      <c r="M383" s="49" t="str">
        <f>IF(ISBLANK(D383),IF(ISBLANK(D384),T(D383),"ERREUR"),IF(COUNTIF($T$4:$T$240,SUBSTITUTE(SUBSTITUTE(SUBSTITUTE(SUBSTITUTE(SUBSTITUTE(SUBSTITUTE(UPPER(D383),"Å","A"),"É","E"),"È","E"),"Ê","E"),"Î","I"),"Ï","I"))&gt;0,D383,IF(ISBLANK(D383),T(D383),"ERREUR")))</f>
        <v/>
      </c>
      <c r="N383" s="38" t="str">
        <f>IF(COUNTIF($V$4:$V$6,E383)&gt;0,E383,IF(ISBLANK(E383),IF(ISBLANK(E384),T(E383),"ERREUR"),"ERREUR"))</f>
        <v/>
      </c>
      <c r="O383" s="38" t="str">
        <f>IF(COUNTIF($W$4:$W$5,F383)&gt;0,F383,IF(ISBLANK(F383),IF(ISBLANK(F384),T(F383),"ERREUR"),"ERREUR"))</f>
        <v/>
      </c>
      <c r="P383" s="38" t="str">
        <f>IF(COUNTIF($X$4:$X$8,G383)&gt;0,G383,IF(ISBLANK(G383),IF(ISBLANK(G384),T(G383),"ERREUR"),"ERREUR"))</f>
        <v/>
      </c>
      <c r="Q383" s="38" t="str">
        <f>IF(ISNUMBER(H383),IF(INT(H383)=H383,H383,"ERREUR"),IF(ISBLANK(H383),IF(ISBLANK(H384),T(H383),"ERREUR"),"ERREUR"))</f>
        <v/>
      </c>
      <c r="R383" s="38"/>
      <c r="S383" s="38"/>
      <c r="T383" s="38"/>
      <c r="U383" s="38"/>
      <c r="V383" s="38"/>
      <c r="W383" s="38"/>
      <c r="X383" s="53"/>
      <c r="Y383" s="42"/>
      <c r="Z383" s="42"/>
      <c r="AA383" s="42"/>
    </row>
    <row r="384" ht="13.75" customHeight="1">
      <c r="A384" s="14" t="s">
        <v>140</v>
      </c>
      <c r="B384" s="50"/>
      <c r="C384" s="43"/>
      <c r="D384" s="43"/>
      <c r="E384" s="44"/>
      <c r="F384" s="44"/>
      <c r="G384" s="44"/>
      <c r="H384" s="45"/>
      <c r="I384" s="54"/>
      <c r="J384" s="47" t="str">
        <f>IF(OR(K384="ERREUR",L384="ERREUR",M384="ERREUR",N384="ERREUR",O384="ERREUR",P384="ERREUR",Q384="ERREUR"),"ERREUR",IF(AND(K384="",L384="",M384="",N384="",O384="",P384="",Q384=""),"ligne vide",IF(OR(K384="",L384="",M384="",N384="",O384="",P384="",Q384=""),"ligne incomplète","Valide")))</f>
        <v xml:space="preserve">ligne vide</v>
      </c>
      <c r="K384" s="48" t="str">
        <f>IF(ISBLANK(B384),IF(ISBLANK(B385),T(B384),"ERREUR"),IF(ISNUMBER(B384),_xlfn.NUMBERVALUE(B384),IF(ISTEXT(B384),VALUE(B384),"ERREUR")))</f>
        <v/>
      </c>
      <c r="L384" s="38" t="str">
        <f>IF(COUNTIF($R$4:$R$6,C384)&gt;0,C384,IF(ISBLANK(C384),IF(ISBLANK(D384),T(C384),"ERREUR"),"ERREUR"))</f>
        <v/>
      </c>
      <c r="M384" s="49" t="str">
        <f>IF(ISBLANK(D384),IF(ISBLANK(D385),T(D384),"ERREUR"),IF(COUNTIF($T$4:$T$240,SUBSTITUTE(SUBSTITUTE(SUBSTITUTE(SUBSTITUTE(SUBSTITUTE(SUBSTITUTE(UPPER(D384),"Å","A"),"É","E"),"È","E"),"Ê","E"),"Î","I"),"Ï","I"))&gt;0,D384,IF(ISBLANK(D384),T(D384),"ERREUR")))</f>
        <v/>
      </c>
      <c r="N384" s="38" t="str">
        <f>IF(COUNTIF($V$4:$V$6,E384)&gt;0,E384,IF(ISBLANK(E384),IF(ISBLANK(E385),T(E384),"ERREUR"),"ERREUR"))</f>
        <v/>
      </c>
      <c r="O384" s="38" t="str">
        <f>IF(COUNTIF($W$4:$W$5,F384)&gt;0,F384,IF(ISBLANK(F384),IF(ISBLANK(F385),T(F384),"ERREUR"),"ERREUR"))</f>
        <v/>
      </c>
      <c r="P384" s="38" t="str">
        <f>IF(COUNTIF($X$4:$X$8,G384)&gt;0,G384,IF(ISBLANK(G384),IF(ISBLANK(G385),T(G384),"ERREUR"),"ERREUR"))</f>
        <v/>
      </c>
      <c r="Q384" s="38" t="str">
        <f>IF(ISNUMBER(H384),IF(INT(H384)=H384,H384,"ERREUR"),IF(ISBLANK(H384),IF(ISBLANK(H385),T(H384),"ERREUR"),"ERREUR"))</f>
        <v/>
      </c>
      <c r="R384" s="38"/>
      <c r="S384" s="38"/>
      <c r="T384" s="38"/>
      <c r="U384" s="38"/>
      <c r="V384" s="38"/>
      <c r="W384" s="38"/>
      <c r="X384" s="53"/>
      <c r="Y384" s="42"/>
      <c r="Z384" s="42"/>
      <c r="AA384" s="42"/>
    </row>
    <row r="385" ht="13.75" customHeight="1">
      <c r="A385" s="14" t="s">
        <v>140</v>
      </c>
      <c r="B385" s="50"/>
      <c r="C385" s="43"/>
      <c r="D385" s="43"/>
      <c r="E385" s="44"/>
      <c r="F385" s="44"/>
      <c r="G385" s="44"/>
      <c r="H385" s="45"/>
      <c r="I385" s="54"/>
      <c r="J385" s="47" t="str">
        <f>IF(OR(K385="ERREUR",L385="ERREUR",M385="ERREUR",N385="ERREUR",O385="ERREUR",P385="ERREUR",Q385="ERREUR"),"ERREUR",IF(AND(K385="",L385="",M385="",N385="",O385="",P385="",Q385=""),"ligne vide",IF(OR(K385="",L385="",M385="",N385="",O385="",P385="",Q385=""),"ligne incomplète","Valide")))</f>
        <v xml:space="preserve">ligne vide</v>
      </c>
      <c r="K385" s="48" t="str">
        <f>IF(ISBLANK(B385),IF(ISBLANK(B386),T(B385),"ERREUR"),IF(ISNUMBER(B385),_xlfn.NUMBERVALUE(B385),IF(ISTEXT(B385),VALUE(B385),"ERREUR")))</f>
        <v/>
      </c>
      <c r="L385" s="38" t="str">
        <f>IF(COUNTIF($R$4:$R$6,C385)&gt;0,C385,IF(ISBLANK(C385),IF(ISBLANK(D385),T(C385),"ERREUR"),"ERREUR"))</f>
        <v/>
      </c>
      <c r="M385" s="49" t="str">
        <f>IF(ISBLANK(D385),IF(ISBLANK(D386),T(D385),"ERREUR"),IF(COUNTIF($T$4:$T$240,SUBSTITUTE(SUBSTITUTE(SUBSTITUTE(SUBSTITUTE(SUBSTITUTE(SUBSTITUTE(UPPER(D385),"Å","A"),"É","E"),"È","E"),"Ê","E"),"Î","I"),"Ï","I"))&gt;0,D385,IF(ISBLANK(D385),T(D385),"ERREUR")))</f>
        <v/>
      </c>
      <c r="N385" s="38" t="str">
        <f>IF(COUNTIF($V$4:$V$6,E385)&gt;0,E385,IF(ISBLANK(E385),IF(ISBLANK(E386),T(E385),"ERREUR"),"ERREUR"))</f>
        <v/>
      </c>
      <c r="O385" s="38" t="str">
        <f>IF(COUNTIF($W$4:$W$5,F385)&gt;0,F385,IF(ISBLANK(F385),IF(ISBLANK(F386),T(F385),"ERREUR"),"ERREUR"))</f>
        <v/>
      </c>
      <c r="P385" s="38" t="str">
        <f>IF(COUNTIF($X$4:$X$8,G385)&gt;0,G385,IF(ISBLANK(G385),IF(ISBLANK(G386),T(G385),"ERREUR"),"ERREUR"))</f>
        <v/>
      </c>
      <c r="Q385" s="38" t="str">
        <f>IF(ISNUMBER(H385),IF(INT(H385)=H385,H385,"ERREUR"),IF(ISBLANK(H385),IF(ISBLANK(H386),T(H385),"ERREUR"),"ERREUR"))</f>
        <v/>
      </c>
      <c r="R385" s="38"/>
      <c r="S385" s="38"/>
      <c r="T385" s="38"/>
      <c r="U385" s="38"/>
      <c r="V385" s="38"/>
      <c r="W385" s="38"/>
      <c r="X385" s="53"/>
      <c r="Y385" s="42"/>
      <c r="Z385" s="42"/>
      <c r="AA385" s="42"/>
    </row>
    <row r="386" ht="13.75" customHeight="1">
      <c r="A386" s="14" t="s">
        <v>140</v>
      </c>
      <c r="B386" s="50"/>
      <c r="C386" s="43"/>
      <c r="D386" s="43"/>
      <c r="E386" s="44"/>
      <c r="F386" s="44"/>
      <c r="G386" s="44"/>
      <c r="H386" s="45"/>
      <c r="I386" s="54"/>
      <c r="J386" s="47" t="str">
        <f>IF(OR(K386="ERREUR",L386="ERREUR",M386="ERREUR",N386="ERREUR",O386="ERREUR",P386="ERREUR",Q386="ERREUR"),"ERREUR",IF(AND(K386="",L386="",M386="",N386="",O386="",P386="",Q386=""),"ligne vide",IF(OR(K386="",L386="",M386="",N386="",O386="",P386="",Q386=""),"ligne incomplète","Valide")))</f>
        <v xml:space="preserve">ligne vide</v>
      </c>
      <c r="K386" s="48" t="str">
        <f>IF(ISBLANK(B386),IF(ISBLANK(B387),T(B386),"ERREUR"),IF(ISNUMBER(B386),_xlfn.NUMBERVALUE(B386),IF(ISTEXT(B386),VALUE(B386),"ERREUR")))</f>
        <v/>
      </c>
      <c r="L386" s="38" t="str">
        <f>IF(COUNTIF($R$4:$R$6,C386)&gt;0,C386,IF(ISBLANK(C386),IF(ISBLANK(D386),T(C386),"ERREUR"),"ERREUR"))</f>
        <v/>
      </c>
      <c r="M386" s="49" t="str">
        <f>IF(ISBLANK(D386),IF(ISBLANK(D387),T(D386),"ERREUR"),IF(COUNTIF($T$4:$T$240,SUBSTITUTE(SUBSTITUTE(SUBSTITUTE(SUBSTITUTE(SUBSTITUTE(SUBSTITUTE(UPPER(D386),"Å","A"),"É","E"),"È","E"),"Ê","E"),"Î","I"),"Ï","I"))&gt;0,D386,IF(ISBLANK(D386),T(D386),"ERREUR")))</f>
        <v/>
      </c>
      <c r="N386" s="38" t="str">
        <f>IF(COUNTIF($V$4:$V$6,E386)&gt;0,E386,IF(ISBLANK(E386),IF(ISBLANK(E387),T(E386),"ERREUR"),"ERREUR"))</f>
        <v/>
      </c>
      <c r="O386" s="38" t="str">
        <f>IF(COUNTIF($W$4:$W$5,F386)&gt;0,F386,IF(ISBLANK(F386),IF(ISBLANK(F387),T(F386),"ERREUR"),"ERREUR"))</f>
        <v/>
      </c>
      <c r="P386" s="38" t="str">
        <f>IF(COUNTIF($X$4:$X$8,G386)&gt;0,G386,IF(ISBLANK(G386),IF(ISBLANK(G387),T(G386),"ERREUR"),"ERREUR"))</f>
        <v/>
      </c>
      <c r="Q386" s="38" t="str">
        <f>IF(ISNUMBER(H386),IF(INT(H386)=H386,H386,"ERREUR"),IF(ISBLANK(H386),IF(ISBLANK(H387),T(H386),"ERREUR"),"ERREUR"))</f>
        <v/>
      </c>
      <c r="R386" s="38"/>
      <c r="S386" s="38"/>
      <c r="T386" s="38"/>
      <c r="U386" s="38"/>
      <c r="V386" s="38"/>
      <c r="W386" s="38"/>
      <c r="X386" s="53"/>
      <c r="Y386" s="42"/>
      <c r="Z386" s="42"/>
      <c r="AA386" s="42"/>
    </row>
    <row r="387" ht="13.75" customHeight="1">
      <c r="A387" s="14" t="s">
        <v>140</v>
      </c>
      <c r="B387" s="50"/>
      <c r="C387" s="43"/>
      <c r="D387" s="43"/>
      <c r="E387" s="44"/>
      <c r="F387" s="44"/>
      <c r="G387" s="44"/>
      <c r="H387" s="45"/>
      <c r="I387" s="54"/>
      <c r="J387" s="47" t="str">
        <f>IF(OR(K387="ERREUR",L387="ERREUR",M387="ERREUR",N387="ERREUR",O387="ERREUR",P387="ERREUR",Q387="ERREUR"),"ERREUR",IF(AND(K387="",L387="",M387="",N387="",O387="",P387="",Q387=""),"ligne vide",IF(OR(K387="",L387="",M387="",N387="",O387="",P387="",Q387=""),"ligne incomplète","Valide")))</f>
        <v xml:space="preserve">ligne vide</v>
      </c>
      <c r="K387" s="48" t="str">
        <f>IF(ISBLANK(B387),IF(ISBLANK(B388),T(B387),"ERREUR"),IF(ISNUMBER(B387),_xlfn.NUMBERVALUE(B387),IF(ISTEXT(B387),VALUE(B387),"ERREUR")))</f>
        <v/>
      </c>
      <c r="L387" s="38" t="str">
        <f>IF(COUNTIF($R$4:$R$6,C387)&gt;0,C387,IF(ISBLANK(C387),IF(ISBLANK(D387),T(C387),"ERREUR"),"ERREUR"))</f>
        <v/>
      </c>
      <c r="M387" s="49" t="str">
        <f>IF(ISBLANK(D387),IF(ISBLANK(D388),T(D387),"ERREUR"),IF(COUNTIF($T$4:$T$240,SUBSTITUTE(SUBSTITUTE(SUBSTITUTE(SUBSTITUTE(SUBSTITUTE(SUBSTITUTE(UPPER(D387),"Å","A"),"É","E"),"È","E"),"Ê","E"),"Î","I"),"Ï","I"))&gt;0,D387,IF(ISBLANK(D387),T(D387),"ERREUR")))</f>
        <v/>
      </c>
      <c r="N387" s="38" t="str">
        <f>IF(COUNTIF($V$4:$V$6,E387)&gt;0,E387,IF(ISBLANK(E387),IF(ISBLANK(E388),T(E387),"ERREUR"),"ERREUR"))</f>
        <v/>
      </c>
      <c r="O387" s="38" t="str">
        <f>IF(COUNTIF($W$4:$W$5,F387)&gt;0,F387,IF(ISBLANK(F387),IF(ISBLANK(F388),T(F387),"ERREUR"),"ERREUR"))</f>
        <v/>
      </c>
      <c r="P387" s="38" t="str">
        <f>IF(COUNTIF($X$4:$X$8,G387)&gt;0,G387,IF(ISBLANK(G387),IF(ISBLANK(G388),T(G387),"ERREUR"),"ERREUR"))</f>
        <v/>
      </c>
      <c r="Q387" s="38" t="str">
        <f>IF(ISNUMBER(H387),IF(INT(H387)=H387,H387,"ERREUR"),IF(ISBLANK(H387),IF(ISBLANK(H388),T(H387),"ERREUR"),"ERREUR"))</f>
        <v/>
      </c>
      <c r="R387" s="38"/>
      <c r="S387" s="38"/>
      <c r="T387" s="38"/>
      <c r="U387" s="38"/>
      <c r="V387" s="38"/>
      <c r="W387" s="38"/>
      <c r="X387" s="53"/>
      <c r="Y387" s="42"/>
      <c r="Z387" s="42"/>
      <c r="AA387" s="42"/>
    </row>
    <row r="388" ht="13.75" customHeight="1">
      <c r="A388" s="14" t="s">
        <v>140</v>
      </c>
      <c r="B388" s="50"/>
      <c r="C388" s="43"/>
      <c r="D388" s="43"/>
      <c r="E388" s="44"/>
      <c r="F388" s="44"/>
      <c r="G388" s="44"/>
      <c r="H388" s="45"/>
      <c r="I388" s="54"/>
      <c r="J388" s="47" t="str">
        <f>IF(OR(K388="ERREUR",L388="ERREUR",M388="ERREUR",N388="ERREUR",O388="ERREUR",P388="ERREUR",Q388="ERREUR"),"ERREUR",IF(AND(K388="",L388="",M388="",N388="",O388="",P388="",Q388=""),"ligne vide",IF(OR(K388="",L388="",M388="",N388="",O388="",P388="",Q388=""),"ligne incomplète","Valide")))</f>
        <v xml:space="preserve">ligne vide</v>
      </c>
      <c r="K388" s="48" t="str">
        <f>IF(ISBLANK(B388),IF(ISBLANK(B389),T(B388),"ERREUR"),IF(ISNUMBER(B388),_xlfn.NUMBERVALUE(B388),IF(ISTEXT(B388),VALUE(B388),"ERREUR")))</f>
        <v/>
      </c>
      <c r="L388" s="38" t="str">
        <f>IF(COUNTIF($R$4:$R$6,C388)&gt;0,C388,IF(ISBLANK(C388),IF(ISBLANK(D388),T(C388),"ERREUR"),"ERREUR"))</f>
        <v/>
      </c>
      <c r="M388" s="49" t="str">
        <f>IF(ISBLANK(D388),IF(ISBLANK(D389),T(D388),"ERREUR"),IF(COUNTIF($T$4:$T$240,SUBSTITUTE(SUBSTITUTE(SUBSTITUTE(SUBSTITUTE(SUBSTITUTE(SUBSTITUTE(UPPER(D388),"Å","A"),"É","E"),"È","E"),"Ê","E"),"Î","I"),"Ï","I"))&gt;0,D388,IF(ISBLANK(D388),T(D388),"ERREUR")))</f>
        <v/>
      </c>
      <c r="N388" s="38" t="str">
        <f>IF(COUNTIF($V$4:$V$6,E388)&gt;0,E388,IF(ISBLANK(E388),IF(ISBLANK(E389),T(E388),"ERREUR"),"ERREUR"))</f>
        <v/>
      </c>
      <c r="O388" s="38" t="str">
        <f>IF(COUNTIF($W$4:$W$5,F388)&gt;0,F388,IF(ISBLANK(F388),IF(ISBLANK(F389),T(F388),"ERREUR"),"ERREUR"))</f>
        <v/>
      </c>
      <c r="P388" s="38" t="str">
        <f>IF(COUNTIF($X$4:$X$8,G388)&gt;0,G388,IF(ISBLANK(G388),IF(ISBLANK(G389),T(G388),"ERREUR"),"ERREUR"))</f>
        <v/>
      </c>
      <c r="Q388" s="38" t="str">
        <f>IF(ISNUMBER(H388),IF(INT(H388)=H388,H388,"ERREUR"),IF(ISBLANK(H388),IF(ISBLANK(H389),T(H388),"ERREUR"),"ERREUR"))</f>
        <v/>
      </c>
      <c r="R388" s="38"/>
      <c r="S388" s="38"/>
      <c r="T388" s="38"/>
      <c r="U388" s="38"/>
      <c r="V388" s="38"/>
      <c r="W388" s="38"/>
      <c r="X388" s="53"/>
      <c r="Y388" s="42"/>
      <c r="Z388" s="42"/>
      <c r="AA388" s="42"/>
    </row>
    <row r="389" ht="13.75" customHeight="1">
      <c r="A389" s="14" t="s">
        <v>140</v>
      </c>
      <c r="B389" s="50"/>
      <c r="C389" s="43"/>
      <c r="D389" s="43"/>
      <c r="E389" s="44"/>
      <c r="F389" s="44"/>
      <c r="G389" s="44"/>
      <c r="H389" s="45"/>
      <c r="I389" s="54"/>
      <c r="J389" s="47" t="str">
        <f>IF(OR(K389="ERREUR",L389="ERREUR",M389="ERREUR",N389="ERREUR",O389="ERREUR",P389="ERREUR",Q389="ERREUR"),"ERREUR",IF(AND(K389="",L389="",M389="",N389="",O389="",P389="",Q389=""),"ligne vide",IF(OR(K389="",L389="",M389="",N389="",O389="",P389="",Q389=""),"ligne incomplète","Valide")))</f>
        <v xml:space="preserve">ligne vide</v>
      </c>
      <c r="K389" s="48" t="str">
        <f>IF(ISBLANK(B389),IF(ISBLANK(B390),T(B389),"ERREUR"),IF(ISNUMBER(B389),_xlfn.NUMBERVALUE(B389),IF(ISTEXT(B389),VALUE(B389),"ERREUR")))</f>
        <v/>
      </c>
      <c r="L389" s="38" t="str">
        <f>IF(COUNTIF($R$4:$R$6,C389)&gt;0,C389,IF(ISBLANK(C389),IF(ISBLANK(D389),T(C389),"ERREUR"),"ERREUR"))</f>
        <v/>
      </c>
      <c r="M389" s="49" t="str">
        <f>IF(ISBLANK(D389),IF(ISBLANK(D390),T(D389),"ERREUR"),IF(COUNTIF($T$4:$T$240,SUBSTITUTE(SUBSTITUTE(SUBSTITUTE(SUBSTITUTE(SUBSTITUTE(SUBSTITUTE(UPPER(D389),"Å","A"),"É","E"),"È","E"),"Ê","E"),"Î","I"),"Ï","I"))&gt;0,D389,IF(ISBLANK(D389),T(D389),"ERREUR")))</f>
        <v/>
      </c>
      <c r="N389" s="38" t="str">
        <f>IF(COUNTIF($V$4:$V$6,E389)&gt;0,E389,IF(ISBLANK(E389),IF(ISBLANK(E390),T(E389),"ERREUR"),"ERREUR"))</f>
        <v/>
      </c>
      <c r="O389" s="38" t="str">
        <f>IF(COUNTIF($W$4:$W$5,F389)&gt;0,F389,IF(ISBLANK(F389),IF(ISBLANK(F390),T(F389),"ERREUR"),"ERREUR"))</f>
        <v/>
      </c>
      <c r="P389" s="38" t="str">
        <f>IF(COUNTIF($X$4:$X$8,G389)&gt;0,G389,IF(ISBLANK(G389),IF(ISBLANK(G390),T(G389),"ERREUR"),"ERREUR"))</f>
        <v/>
      </c>
      <c r="Q389" s="38" t="str">
        <f>IF(ISNUMBER(H389),IF(INT(H389)=H389,H389,"ERREUR"),IF(ISBLANK(H389),IF(ISBLANK(H390),T(H389),"ERREUR"),"ERREUR"))</f>
        <v/>
      </c>
      <c r="R389" s="38"/>
      <c r="S389" s="38"/>
      <c r="T389" s="38"/>
      <c r="U389" s="38"/>
      <c r="V389" s="38"/>
      <c r="W389" s="38"/>
      <c r="X389" s="53"/>
      <c r="Y389" s="42"/>
      <c r="Z389" s="42"/>
      <c r="AA389" s="42"/>
    </row>
    <row r="390" ht="13.75" customHeight="1">
      <c r="A390" s="14" t="s">
        <v>140</v>
      </c>
      <c r="B390" s="50"/>
      <c r="C390" s="43"/>
      <c r="D390" s="43"/>
      <c r="E390" s="44"/>
      <c r="F390" s="44"/>
      <c r="G390" s="44"/>
      <c r="H390" s="45"/>
      <c r="I390" s="54"/>
      <c r="J390" s="47" t="str">
        <f>IF(OR(K390="ERREUR",L390="ERREUR",M390="ERREUR",N390="ERREUR",O390="ERREUR",P390="ERREUR",Q390="ERREUR"),"ERREUR",IF(AND(K390="",L390="",M390="",N390="",O390="",P390="",Q390=""),"ligne vide",IF(OR(K390="",L390="",M390="",N390="",O390="",P390="",Q390=""),"ligne incomplète","Valide")))</f>
        <v xml:space="preserve">ligne vide</v>
      </c>
      <c r="K390" s="48" t="str">
        <f>IF(ISBLANK(B390),IF(ISBLANK(B391),T(B390),"ERREUR"),IF(ISNUMBER(B390),_xlfn.NUMBERVALUE(B390),IF(ISTEXT(B390),VALUE(B390),"ERREUR")))</f>
        <v/>
      </c>
      <c r="L390" s="38" t="str">
        <f>IF(COUNTIF($R$4:$R$6,C390)&gt;0,C390,IF(ISBLANK(C390),IF(ISBLANK(D390),T(C390),"ERREUR"),"ERREUR"))</f>
        <v/>
      </c>
      <c r="M390" s="49" t="str">
        <f>IF(ISBLANK(D390),IF(ISBLANK(D391),T(D390),"ERREUR"),IF(COUNTIF($T$4:$T$240,SUBSTITUTE(SUBSTITUTE(SUBSTITUTE(SUBSTITUTE(SUBSTITUTE(SUBSTITUTE(UPPER(D390),"Å","A"),"É","E"),"È","E"),"Ê","E"),"Î","I"),"Ï","I"))&gt;0,D390,IF(ISBLANK(D390),T(D390),"ERREUR")))</f>
        <v/>
      </c>
      <c r="N390" s="38" t="str">
        <f>IF(COUNTIF($V$4:$V$6,E390)&gt;0,E390,IF(ISBLANK(E390),IF(ISBLANK(E391),T(E390),"ERREUR"),"ERREUR"))</f>
        <v/>
      </c>
      <c r="O390" s="38" t="str">
        <f>IF(COUNTIF($W$4:$W$5,F390)&gt;0,F390,IF(ISBLANK(F390),IF(ISBLANK(F391),T(F390),"ERREUR"),"ERREUR"))</f>
        <v/>
      </c>
      <c r="P390" s="38" t="str">
        <f>IF(COUNTIF($X$4:$X$8,G390)&gt;0,G390,IF(ISBLANK(G390),IF(ISBLANK(G391),T(G390),"ERREUR"),"ERREUR"))</f>
        <v/>
      </c>
      <c r="Q390" s="38" t="str">
        <f>IF(ISNUMBER(H390),IF(INT(H390)=H390,H390,"ERREUR"),IF(ISBLANK(H390),IF(ISBLANK(H391),T(H390),"ERREUR"),"ERREUR"))</f>
        <v/>
      </c>
      <c r="R390" s="38"/>
      <c r="S390" s="38"/>
      <c r="T390" s="38"/>
      <c r="U390" s="38"/>
      <c r="V390" s="38"/>
      <c r="W390" s="38"/>
      <c r="X390" s="53"/>
      <c r="Y390" s="42"/>
      <c r="Z390" s="42"/>
      <c r="AA390" s="42"/>
    </row>
    <row r="391" ht="13.75" customHeight="1">
      <c r="A391" s="14" t="s">
        <v>140</v>
      </c>
      <c r="B391" s="50"/>
      <c r="C391" s="43"/>
      <c r="D391" s="43"/>
      <c r="E391" s="44"/>
      <c r="F391" s="44"/>
      <c r="G391" s="44"/>
      <c r="H391" s="45"/>
      <c r="I391" s="54"/>
      <c r="J391" s="47" t="str">
        <f>IF(OR(K391="ERREUR",L391="ERREUR",M391="ERREUR",N391="ERREUR",O391="ERREUR",P391="ERREUR",Q391="ERREUR"),"ERREUR",IF(AND(K391="",L391="",M391="",N391="",O391="",P391="",Q391=""),"ligne vide",IF(OR(K391="",L391="",M391="",N391="",O391="",P391="",Q391=""),"ligne incomplète","Valide")))</f>
        <v xml:space="preserve">ligne vide</v>
      </c>
      <c r="K391" s="48" t="str">
        <f>IF(ISBLANK(B391),IF(ISBLANK(B392),T(B391),"ERREUR"),IF(ISNUMBER(B391),_xlfn.NUMBERVALUE(B391),IF(ISTEXT(B391),VALUE(B391),"ERREUR")))</f>
        <v/>
      </c>
      <c r="L391" s="38" t="str">
        <f>IF(COUNTIF($R$4:$R$6,C391)&gt;0,C391,IF(ISBLANK(C391),IF(ISBLANK(D391),T(C391),"ERREUR"),"ERREUR"))</f>
        <v/>
      </c>
      <c r="M391" s="49" t="str">
        <f>IF(ISBLANK(D391),IF(ISBLANK(D392),T(D391),"ERREUR"),IF(COUNTIF($T$4:$T$240,SUBSTITUTE(SUBSTITUTE(SUBSTITUTE(SUBSTITUTE(SUBSTITUTE(SUBSTITUTE(UPPER(D391),"Å","A"),"É","E"),"È","E"),"Ê","E"),"Î","I"),"Ï","I"))&gt;0,D391,IF(ISBLANK(D391),T(D391),"ERREUR")))</f>
        <v/>
      </c>
      <c r="N391" s="38" t="str">
        <f>IF(COUNTIF($V$4:$V$6,E391)&gt;0,E391,IF(ISBLANK(E391),IF(ISBLANK(E392),T(E391),"ERREUR"),"ERREUR"))</f>
        <v/>
      </c>
      <c r="O391" s="38" t="str">
        <f>IF(COUNTIF($W$4:$W$5,F391)&gt;0,F391,IF(ISBLANK(F391),IF(ISBLANK(F392),T(F391),"ERREUR"),"ERREUR"))</f>
        <v/>
      </c>
      <c r="P391" s="38" t="str">
        <f>IF(COUNTIF($X$4:$X$8,G391)&gt;0,G391,IF(ISBLANK(G391),IF(ISBLANK(G392),T(G391),"ERREUR"),"ERREUR"))</f>
        <v/>
      </c>
      <c r="Q391" s="38" t="str">
        <f>IF(ISNUMBER(H391),IF(INT(H391)=H391,H391,"ERREUR"),IF(ISBLANK(H391),IF(ISBLANK(H392),T(H391),"ERREUR"),"ERREUR"))</f>
        <v/>
      </c>
      <c r="R391" s="38"/>
      <c r="S391" s="38"/>
      <c r="T391" s="38"/>
      <c r="U391" s="38"/>
      <c r="V391" s="38"/>
      <c r="W391" s="38"/>
      <c r="X391" s="53"/>
      <c r="Y391" s="42"/>
      <c r="Z391" s="42"/>
      <c r="AA391" s="42"/>
    </row>
    <row r="392" ht="13.75" customHeight="1">
      <c r="A392" s="14" t="s">
        <v>140</v>
      </c>
      <c r="B392" s="50"/>
      <c r="C392" s="43"/>
      <c r="D392" s="43"/>
      <c r="E392" s="44"/>
      <c r="F392" s="44"/>
      <c r="G392" s="44"/>
      <c r="H392" s="45"/>
      <c r="I392" s="54"/>
      <c r="J392" s="47" t="str">
        <f>IF(OR(K392="ERREUR",L392="ERREUR",M392="ERREUR",N392="ERREUR",O392="ERREUR",P392="ERREUR",Q392="ERREUR"),"ERREUR",IF(AND(K392="",L392="",M392="",N392="",O392="",P392="",Q392=""),"ligne vide",IF(OR(K392="",L392="",M392="",N392="",O392="",P392="",Q392=""),"ligne incomplète","Valide")))</f>
        <v xml:space="preserve">ligne vide</v>
      </c>
      <c r="K392" s="48" t="str">
        <f>IF(ISBLANK(B392),IF(ISBLANK(B393),T(B392),"ERREUR"),IF(ISNUMBER(B392),_xlfn.NUMBERVALUE(B392),IF(ISTEXT(B392),VALUE(B392),"ERREUR")))</f>
        <v/>
      </c>
      <c r="L392" s="38" t="str">
        <f>IF(COUNTIF($R$4:$R$6,C392)&gt;0,C392,IF(ISBLANK(C392),IF(ISBLANK(D392),T(C392),"ERREUR"),"ERREUR"))</f>
        <v/>
      </c>
      <c r="M392" s="49" t="str">
        <f>IF(ISBLANK(D392),IF(ISBLANK(D393),T(D392),"ERREUR"),IF(COUNTIF($T$4:$T$240,SUBSTITUTE(SUBSTITUTE(SUBSTITUTE(SUBSTITUTE(SUBSTITUTE(SUBSTITUTE(UPPER(D392),"Å","A"),"É","E"),"È","E"),"Ê","E"),"Î","I"),"Ï","I"))&gt;0,D392,IF(ISBLANK(D392),T(D392),"ERREUR")))</f>
        <v/>
      </c>
      <c r="N392" s="38" t="str">
        <f>IF(COUNTIF($V$4:$V$6,E392)&gt;0,E392,IF(ISBLANK(E392),IF(ISBLANK(E393),T(E392),"ERREUR"),"ERREUR"))</f>
        <v/>
      </c>
      <c r="O392" s="38" t="str">
        <f>IF(COUNTIF($W$4:$W$5,F392)&gt;0,F392,IF(ISBLANK(F392),IF(ISBLANK(F393),T(F392),"ERREUR"),"ERREUR"))</f>
        <v/>
      </c>
      <c r="P392" s="38" t="str">
        <f>IF(COUNTIF($X$4:$X$8,G392)&gt;0,G392,IF(ISBLANK(G392),IF(ISBLANK(G393),T(G392),"ERREUR"),"ERREUR"))</f>
        <v/>
      </c>
      <c r="Q392" s="38" t="str">
        <f>IF(ISNUMBER(H392),IF(INT(H392)=H392,H392,"ERREUR"),IF(ISBLANK(H392),IF(ISBLANK(H393),T(H392),"ERREUR"),"ERREUR"))</f>
        <v/>
      </c>
      <c r="R392" s="38"/>
      <c r="S392" s="38"/>
      <c r="T392" s="38"/>
      <c r="U392" s="38"/>
      <c r="V392" s="38"/>
      <c r="W392" s="38"/>
      <c r="X392" s="53"/>
      <c r="Y392" s="42"/>
      <c r="Z392" s="42"/>
      <c r="AA392" s="42"/>
    </row>
    <row r="393" ht="13.75" customHeight="1">
      <c r="A393" s="14" t="s">
        <v>140</v>
      </c>
      <c r="B393" s="50"/>
      <c r="C393" s="43"/>
      <c r="D393" s="43"/>
      <c r="E393" s="44"/>
      <c r="F393" s="44"/>
      <c r="G393" s="44"/>
      <c r="H393" s="45"/>
      <c r="I393" s="54"/>
      <c r="J393" s="47" t="str">
        <f>IF(OR(K393="ERREUR",L393="ERREUR",M393="ERREUR",N393="ERREUR",O393="ERREUR",P393="ERREUR",Q393="ERREUR"),"ERREUR",IF(AND(K393="",L393="",M393="",N393="",O393="",P393="",Q393=""),"ligne vide",IF(OR(K393="",L393="",M393="",N393="",O393="",P393="",Q393=""),"ligne incomplète","Valide")))</f>
        <v xml:space="preserve">ligne vide</v>
      </c>
      <c r="K393" s="48" t="str">
        <f>IF(ISBLANK(B393),IF(ISBLANK(B394),T(B393),"ERREUR"),IF(ISNUMBER(B393),_xlfn.NUMBERVALUE(B393),IF(ISTEXT(B393),VALUE(B393),"ERREUR")))</f>
        <v/>
      </c>
      <c r="L393" s="38" t="str">
        <f>IF(COUNTIF($R$4:$R$6,C393)&gt;0,C393,IF(ISBLANK(C393),IF(ISBLANK(D393),T(C393),"ERREUR"),"ERREUR"))</f>
        <v/>
      </c>
      <c r="M393" s="49" t="str">
        <f>IF(ISBLANK(D393),IF(ISBLANK(D394),T(D393),"ERREUR"),IF(COUNTIF($T$4:$T$240,SUBSTITUTE(SUBSTITUTE(SUBSTITUTE(SUBSTITUTE(SUBSTITUTE(SUBSTITUTE(UPPER(D393),"Å","A"),"É","E"),"È","E"),"Ê","E"),"Î","I"),"Ï","I"))&gt;0,D393,IF(ISBLANK(D393),T(D393),"ERREUR")))</f>
        <v/>
      </c>
      <c r="N393" s="38" t="str">
        <f>IF(COUNTIF($V$4:$V$6,E393)&gt;0,E393,IF(ISBLANK(E393),IF(ISBLANK(E394),T(E393),"ERREUR"),"ERREUR"))</f>
        <v/>
      </c>
      <c r="O393" s="38" t="str">
        <f>IF(COUNTIF($W$4:$W$5,F393)&gt;0,F393,IF(ISBLANK(F393),IF(ISBLANK(F394),T(F393),"ERREUR"),"ERREUR"))</f>
        <v/>
      </c>
      <c r="P393" s="38" t="str">
        <f>IF(COUNTIF($X$4:$X$8,G393)&gt;0,G393,IF(ISBLANK(G393),IF(ISBLANK(G394),T(G393),"ERREUR"),"ERREUR"))</f>
        <v/>
      </c>
      <c r="Q393" s="38" t="str">
        <f>IF(ISNUMBER(H393),IF(INT(H393)=H393,H393,"ERREUR"),IF(ISBLANK(H393),IF(ISBLANK(H394),T(H393),"ERREUR"),"ERREUR"))</f>
        <v/>
      </c>
      <c r="R393" s="38"/>
      <c r="S393" s="38"/>
      <c r="T393" s="38"/>
      <c r="U393" s="38"/>
      <c r="V393" s="38"/>
      <c r="W393" s="38"/>
      <c r="X393" s="53"/>
      <c r="Y393" s="42"/>
      <c r="Z393" s="42"/>
      <c r="AA393" s="42"/>
    </row>
    <row r="394" ht="13.75" customHeight="1">
      <c r="A394" s="14" t="s">
        <v>140</v>
      </c>
      <c r="B394" s="50"/>
      <c r="C394" s="43"/>
      <c r="D394" s="43"/>
      <c r="E394" s="44"/>
      <c r="F394" s="44"/>
      <c r="G394" s="44"/>
      <c r="H394" s="45"/>
      <c r="I394" s="54"/>
      <c r="J394" s="47" t="str">
        <f>IF(OR(K394="ERREUR",L394="ERREUR",M394="ERREUR",N394="ERREUR",O394="ERREUR",P394="ERREUR",Q394="ERREUR"),"ERREUR",IF(AND(K394="",L394="",M394="",N394="",O394="",P394="",Q394=""),"ligne vide",IF(OR(K394="",L394="",M394="",N394="",O394="",P394="",Q394=""),"ligne incomplète","Valide")))</f>
        <v xml:space="preserve">ligne vide</v>
      </c>
      <c r="K394" s="48" t="str">
        <f>IF(ISBLANK(B394),IF(ISBLANK(B395),T(B394),"ERREUR"),IF(ISNUMBER(B394),_xlfn.NUMBERVALUE(B394),IF(ISTEXT(B394),VALUE(B394),"ERREUR")))</f>
        <v/>
      </c>
      <c r="L394" s="38" t="str">
        <f>IF(COUNTIF($R$4:$R$6,C394)&gt;0,C394,IF(ISBLANK(C394),IF(ISBLANK(D394),T(C394),"ERREUR"),"ERREUR"))</f>
        <v/>
      </c>
      <c r="M394" s="49" t="str">
        <f>IF(ISBLANK(D394),IF(ISBLANK(D395),T(D394),"ERREUR"),IF(COUNTIF($T$4:$T$240,SUBSTITUTE(SUBSTITUTE(SUBSTITUTE(SUBSTITUTE(SUBSTITUTE(SUBSTITUTE(UPPER(D394),"Å","A"),"É","E"),"È","E"),"Ê","E"),"Î","I"),"Ï","I"))&gt;0,D394,IF(ISBLANK(D394),T(D394),"ERREUR")))</f>
        <v/>
      </c>
      <c r="N394" s="38" t="str">
        <f>IF(COUNTIF($V$4:$V$6,E394)&gt;0,E394,IF(ISBLANK(E394),IF(ISBLANK(E395),T(E394),"ERREUR"),"ERREUR"))</f>
        <v/>
      </c>
      <c r="O394" s="38" t="str">
        <f>IF(COUNTIF($W$4:$W$5,F394)&gt;0,F394,IF(ISBLANK(F394),IF(ISBLANK(F395),T(F394),"ERREUR"),"ERREUR"))</f>
        <v/>
      </c>
      <c r="P394" s="38" t="str">
        <f>IF(COUNTIF($X$4:$X$8,G394)&gt;0,G394,IF(ISBLANK(G394),IF(ISBLANK(G395),T(G394),"ERREUR"),"ERREUR"))</f>
        <v/>
      </c>
      <c r="Q394" s="38" t="str">
        <f>IF(ISNUMBER(H394),IF(INT(H394)=H394,H394,"ERREUR"),IF(ISBLANK(H394),IF(ISBLANK(H395),T(H394),"ERREUR"),"ERREUR"))</f>
        <v/>
      </c>
      <c r="R394" s="38"/>
      <c r="S394" s="38"/>
      <c r="T394" s="38"/>
      <c r="U394" s="38"/>
      <c r="V394" s="38"/>
      <c r="W394" s="38"/>
      <c r="X394" s="53"/>
      <c r="Y394" s="42"/>
      <c r="Z394" s="42"/>
      <c r="AA394" s="42"/>
    </row>
    <row r="395" ht="13.75" customHeight="1">
      <c r="A395" s="14" t="s">
        <v>140</v>
      </c>
      <c r="B395" s="50"/>
      <c r="C395" s="43"/>
      <c r="D395" s="43"/>
      <c r="E395" s="44"/>
      <c r="F395" s="44"/>
      <c r="G395" s="44"/>
      <c r="H395" s="45"/>
      <c r="I395" s="54"/>
      <c r="J395" s="47" t="str">
        <f>IF(OR(K395="ERREUR",L395="ERREUR",M395="ERREUR",N395="ERREUR",O395="ERREUR",P395="ERREUR",Q395="ERREUR"),"ERREUR",IF(AND(K395="",L395="",M395="",N395="",O395="",P395="",Q395=""),"ligne vide",IF(OR(K395="",L395="",M395="",N395="",O395="",P395="",Q395=""),"ligne incomplète","Valide")))</f>
        <v xml:space="preserve">ligne vide</v>
      </c>
      <c r="K395" s="48" t="str">
        <f>IF(ISBLANK(B395),IF(ISBLANK(B396),T(B395),"ERREUR"),IF(ISNUMBER(B395),_xlfn.NUMBERVALUE(B395),IF(ISTEXT(B395),VALUE(B395),"ERREUR")))</f>
        <v/>
      </c>
      <c r="L395" s="38" t="str">
        <f>IF(COUNTIF($R$4:$R$6,C395)&gt;0,C395,IF(ISBLANK(C395),IF(ISBLANK(D395),T(C395),"ERREUR"),"ERREUR"))</f>
        <v/>
      </c>
      <c r="M395" s="49" t="str">
        <f>IF(ISBLANK(D395),IF(ISBLANK(D396),T(D395),"ERREUR"),IF(COUNTIF($T$4:$T$240,SUBSTITUTE(SUBSTITUTE(SUBSTITUTE(SUBSTITUTE(SUBSTITUTE(SUBSTITUTE(UPPER(D395),"Å","A"),"É","E"),"È","E"),"Ê","E"),"Î","I"),"Ï","I"))&gt;0,D395,IF(ISBLANK(D395),T(D395),"ERREUR")))</f>
        <v/>
      </c>
      <c r="N395" s="38" t="str">
        <f>IF(COUNTIF($V$4:$V$6,E395)&gt;0,E395,IF(ISBLANK(E395),IF(ISBLANK(E396),T(E395),"ERREUR"),"ERREUR"))</f>
        <v/>
      </c>
      <c r="O395" s="38" t="str">
        <f>IF(COUNTIF($W$4:$W$5,F395)&gt;0,F395,IF(ISBLANK(F395),IF(ISBLANK(F396),T(F395),"ERREUR"),"ERREUR"))</f>
        <v/>
      </c>
      <c r="P395" s="38" t="str">
        <f>IF(COUNTIF($X$4:$X$8,G395)&gt;0,G395,IF(ISBLANK(G395),IF(ISBLANK(G396),T(G395),"ERREUR"),"ERREUR"))</f>
        <v/>
      </c>
      <c r="Q395" s="38" t="str">
        <f>IF(ISNUMBER(H395),IF(INT(H395)=H395,H395,"ERREUR"),IF(ISBLANK(H395),IF(ISBLANK(H396),T(H395),"ERREUR"),"ERREUR"))</f>
        <v/>
      </c>
      <c r="R395" s="38"/>
      <c r="S395" s="38"/>
      <c r="T395" s="38"/>
      <c r="U395" s="38"/>
      <c r="V395" s="38"/>
      <c r="W395" s="38"/>
      <c r="X395" s="53"/>
      <c r="Y395" s="42"/>
      <c r="Z395" s="42"/>
      <c r="AA395" s="42"/>
    </row>
    <row r="396" ht="13.75" customHeight="1">
      <c r="A396" s="14" t="s">
        <v>140</v>
      </c>
      <c r="B396" s="50"/>
      <c r="C396" s="43"/>
      <c r="D396" s="43"/>
      <c r="E396" s="44"/>
      <c r="F396" s="44"/>
      <c r="G396" s="44"/>
      <c r="H396" s="45"/>
      <c r="I396" s="54"/>
      <c r="J396" s="47" t="str">
        <f>IF(OR(K396="ERREUR",L396="ERREUR",M396="ERREUR",N396="ERREUR",O396="ERREUR",P396="ERREUR",Q396="ERREUR"),"ERREUR",IF(AND(K396="",L396="",M396="",N396="",O396="",P396="",Q396=""),"ligne vide",IF(OR(K396="",L396="",M396="",N396="",O396="",P396="",Q396=""),"ligne incomplète","Valide")))</f>
        <v xml:space="preserve">ligne vide</v>
      </c>
      <c r="K396" s="48" t="str">
        <f>IF(ISBLANK(B396),IF(ISBLANK(B397),T(B396),"ERREUR"),IF(ISNUMBER(B396),_xlfn.NUMBERVALUE(B396),IF(ISTEXT(B396),VALUE(B396),"ERREUR")))</f>
        <v/>
      </c>
      <c r="L396" s="38" t="str">
        <f>IF(COUNTIF($R$4:$R$6,C396)&gt;0,C396,IF(ISBLANK(C396),IF(ISBLANK(D396),T(C396),"ERREUR"),"ERREUR"))</f>
        <v/>
      </c>
      <c r="M396" s="49" t="str">
        <f>IF(ISBLANK(D396),IF(ISBLANK(D397),T(D396),"ERREUR"),IF(COUNTIF($T$4:$T$240,SUBSTITUTE(SUBSTITUTE(SUBSTITUTE(SUBSTITUTE(SUBSTITUTE(SUBSTITUTE(UPPER(D396),"Å","A"),"É","E"),"È","E"),"Ê","E"),"Î","I"),"Ï","I"))&gt;0,D396,IF(ISBLANK(D396),T(D396),"ERREUR")))</f>
        <v/>
      </c>
      <c r="N396" s="38" t="str">
        <f>IF(COUNTIF($V$4:$V$6,E396)&gt;0,E396,IF(ISBLANK(E396),IF(ISBLANK(E397),T(E396),"ERREUR"),"ERREUR"))</f>
        <v/>
      </c>
      <c r="O396" s="38" t="str">
        <f>IF(COUNTIF($W$4:$W$5,F396)&gt;0,F396,IF(ISBLANK(F396),IF(ISBLANK(F397),T(F396),"ERREUR"),"ERREUR"))</f>
        <v/>
      </c>
      <c r="P396" s="38" t="str">
        <f>IF(COUNTIF($X$4:$X$8,G396)&gt;0,G396,IF(ISBLANK(G396),IF(ISBLANK(G397),T(G396),"ERREUR"),"ERREUR"))</f>
        <v/>
      </c>
      <c r="Q396" s="38" t="str">
        <f>IF(ISNUMBER(H396),IF(INT(H396)=H396,H396,"ERREUR"),IF(ISBLANK(H396),IF(ISBLANK(H397),T(H396),"ERREUR"),"ERREUR"))</f>
        <v/>
      </c>
      <c r="R396" s="38"/>
      <c r="S396" s="38"/>
      <c r="T396" s="38"/>
      <c r="U396" s="38"/>
      <c r="V396" s="38"/>
      <c r="W396" s="38"/>
      <c r="X396" s="53"/>
      <c r="Y396" s="42"/>
      <c r="Z396" s="42"/>
      <c r="AA396" s="42"/>
    </row>
    <row r="397" ht="13.75" customHeight="1">
      <c r="A397" s="14" t="s">
        <v>140</v>
      </c>
      <c r="B397" s="50"/>
      <c r="C397" s="43"/>
      <c r="D397" s="43"/>
      <c r="E397" s="44"/>
      <c r="F397" s="44"/>
      <c r="G397" s="44"/>
      <c r="H397" s="45"/>
      <c r="I397" s="54"/>
      <c r="J397" s="47" t="str">
        <f>IF(OR(K397="ERREUR",L397="ERREUR",M397="ERREUR",N397="ERREUR",O397="ERREUR",P397="ERREUR",Q397="ERREUR"),"ERREUR",IF(AND(K397="",L397="",M397="",N397="",O397="",P397="",Q397=""),"ligne vide",IF(OR(K397="",L397="",M397="",N397="",O397="",P397="",Q397=""),"ligne incomplète","Valide")))</f>
        <v xml:space="preserve">ligne vide</v>
      </c>
      <c r="K397" s="48" t="str">
        <f>IF(ISBLANK(B397),IF(ISBLANK(B398),T(B397),"ERREUR"),IF(ISNUMBER(B397),_xlfn.NUMBERVALUE(B397),IF(ISTEXT(B397),VALUE(B397),"ERREUR")))</f>
        <v/>
      </c>
      <c r="L397" s="38" t="str">
        <f>IF(COUNTIF($R$4:$R$6,C397)&gt;0,C397,IF(ISBLANK(C397),IF(ISBLANK(D397),T(C397),"ERREUR"),"ERREUR"))</f>
        <v/>
      </c>
      <c r="M397" s="49" t="str">
        <f>IF(ISBLANK(D397),IF(ISBLANK(D398),T(D397),"ERREUR"),IF(COUNTIF($T$4:$T$240,SUBSTITUTE(SUBSTITUTE(SUBSTITUTE(SUBSTITUTE(SUBSTITUTE(SUBSTITUTE(UPPER(D397),"Å","A"),"É","E"),"È","E"),"Ê","E"),"Î","I"),"Ï","I"))&gt;0,D397,IF(ISBLANK(D397),T(D397),"ERREUR")))</f>
        <v/>
      </c>
      <c r="N397" s="38" t="str">
        <f>IF(COUNTIF($V$4:$V$6,E397)&gt;0,E397,IF(ISBLANK(E397),IF(ISBLANK(E398),T(E397),"ERREUR"),"ERREUR"))</f>
        <v/>
      </c>
      <c r="O397" s="38" t="str">
        <f>IF(COUNTIF($W$4:$W$5,F397)&gt;0,F397,IF(ISBLANK(F397),IF(ISBLANK(F398),T(F397),"ERREUR"),"ERREUR"))</f>
        <v/>
      </c>
      <c r="P397" s="38" t="str">
        <f>IF(COUNTIF($X$4:$X$8,G397)&gt;0,G397,IF(ISBLANK(G397),IF(ISBLANK(G398),T(G397),"ERREUR"),"ERREUR"))</f>
        <v/>
      </c>
      <c r="Q397" s="38" t="str">
        <f>IF(ISNUMBER(H397),IF(INT(H397)=H397,H397,"ERREUR"),IF(ISBLANK(H397),IF(ISBLANK(H398),T(H397),"ERREUR"),"ERREUR"))</f>
        <v/>
      </c>
      <c r="R397" s="38"/>
      <c r="S397" s="38"/>
      <c r="T397" s="38"/>
      <c r="U397" s="38"/>
      <c r="V397" s="38"/>
      <c r="W397" s="38"/>
      <c r="X397" s="53"/>
      <c r="Y397" s="42"/>
      <c r="Z397" s="42"/>
      <c r="AA397" s="42"/>
    </row>
    <row r="398" ht="13.75" customHeight="1">
      <c r="A398" s="14" t="s">
        <v>140</v>
      </c>
      <c r="B398" s="50"/>
      <c r="C398" s="43"/>
      <c r="D398" s="43"/>
      <c r="E398" s="44"/>
      <c r="F398" s="44"/>
      <c r="G398" s="44"/>
      <c r="H398" s="45"/>
      <c r="I398" s="54"/>
      <c r="J398" s="47" t="str">
        <f>IF(OR(K398="ERREUR",L398="ERREUR",M398="ERREUR",N398="ERREUR",O398="ERREUR",P398="ERREUR",Q398="ERREUR"),"ERREUR",IF(AND(K398="",L398="",M398="",N398="",O398="",P398="",Q398=""),"ligne vide",IF(OR(K398="",L398="",M398="",N398="",O398="",P398="",Q398=""),"ligne incomplète","Valide")))</f>
        <v xml:space="preserve">ligne vide</v>
      </c>
      <c r="K398" s="48" t="str">
        <f>IF(ISBLANK(B398),IF(ISBLANK(B399),T(B398),"ERREUR"),IF(ISNUMBER(B398),_xlfn.NUMBERVALUE(B398),IF(ISTEXT(B398),VALUE(B398),"ERREUR")))</f>
        <v/>
      </c>
      <c r="L398" s="38" t="str">
        <f>IF(COUNTIF($R$4:$R$6,C398)&gt;0,C398,IF(ISBLANK(C398),IF(ISBLANK(D398),T(C398),"ERREUR"),"ERREUR"))</f>
        <v/>
      </c>
      <c r="M398" s="49" t="str">
        <f>IF(ISBLANK(D398),IF(ISBLANK(D399),T(D398),"ERREUR"),IF(COUNTIF($T$4:$T$240,SUBSTITUTE(SUBSTITUTE(SUBSTITUTE(SUBSTITUTE(SUBSTITUTE(SUBSTITUTE(UPPER(D398),"Å","A"),"É","E"),"È","E"),"Ê","E"),"Î","I"),"Ï","I"))&gt;0,D398,IF(ISBLANK(D398),T(D398),"ERREUR")))</f>
        <v/>
      </c>
      <c r="N398" s="38" t="str">
        <f>IF(COUNTIF($V$4:$V$6,E398)&gt;0,E398,IF(ISBLANK(E398),IF(ISBLANK(E399),T(E398),"ERREUR"),"ERREUR"))</f>
        <v/>
      </c>
      <c r="O398" s="38" t="str">
        <f>IF(COUNTIF($W$4:$W$5,F398)&gt;0,F398,IF(ISBLANK(F398),IF(ISBLANK(F399),T(F398),"ERREUR"),"ERREUR"))</f>
        <v/>
      </c>
      <c r="P398" s="38" t="str">
        <f>IF(COUNTIF($X$4:$X$8,G398)&gt;0,G398,IF(ISBLANK(G398),IF(ISBLANK(G399),T(G398),"ERREUR"),"ERREUR"))</f>
        <v/>
      </c>
      <c r="Q398" s="38" t="str">
        <f>IF(ISNUMBER(H398),IF(INT(H398)=H398,H398,"ERREUR"),IF(ISBLANK(H398),IF(ISBLANK(H399),T(H398),"ERREUR"),"ERREUR"))</f>
        <v/>
      </c>
      <c r="R398" s="38"/>
      <c r="S398" s="38"/>
      <c r="T398" s="38"/>
      <c r="U398" s="38"/>
      <c r="V398" s="38"/>
      <c r="W398" s="38"/>
      <c r="X398" s="53"/>
      <c r="Y398" s="42"/>
      <c r="Z398" s="42"/>
      <c r="AA398" s="42"/>
    </row>
    <row r="399" ht="13.75" customHeight="1">
      <c r="A399" s="14" t="s">
        <v>140</v>
      </c>
      <c r="B399" s="50"/>
      <c r="C399" s="43"/>
      <c r="D399" s="43"/>
      <c r="E399" s="44"/>
      <c r="F399" s="44"/>
      <c r="G399" s="44"/>
      <c r="H399" s="45"/>
      <c r="I399" s="54"/>
      <c r="J399" s="47" t="str">
        <f>IF(OR(K399="ERREUR",L399="ERREUR",M399="ERREUR",N399="ERREUR",O399="ERREUR",P399="ERREUR",Q399="ERREUR"),"ERREUR",IF(AND(K399="",L399="",M399="",N399="",O399="",P399="",Q399=""),"ligne vide",IF(OR(K399="",L399="",M399="",N399="",O399="",P399="",Q399=""),"ligne incomplète","Valide")))</f>
        <v xml:space="preserve">ligne vide</v>
      </c>
      <c r="K399" s="48" t="str">
        <f>IF(ISBLANK(B399),IF(ISBLANK(B400),T(B399),"ERREUR"),IF(ISNUMBER(B399),_xlfn.NUMBERVALUE(B399),IF(ISTEXT(B399),VALUE(B399),"ERREUR")))</f>
        <v/>
      </c>
      <c r="L399" s="38" t="str">
        <f>IF(COUNTIF($R$4:$R$6,C399)&gt;0,C399,IF(ISBLANK(C399),IF(ISBLANK(D399),T(C399),"ERREUR"),"ERREUR"))</f>
        <v/>
      </c>
      <c r="M399" s="49" t="str">
        <f>IF(ISBLANK(D399),IF(ISBLANK(D400),T(D399),"ERREUR"),IF(COUNTIF($T$4:$T$240,SUBSTITUTE(SUBSTITUTE(SUBSTITUTE(SUBSTITUTE(SUBSTITUTE(SUBSTITUTE(UPPER(D399),"Å","A"),"É","E"),"È","E"),"Ê","E"),"Î","I"),"Ï","I"))&gt;0,D399,IF(ISBLANK(D399),T(D399),"ERREUR")))</f>
        <v/>
      </c>
      <c r="N399" s="38" t="str">
        <f>IF(COUNTIF($V$4:$V$6,E399)&gt;0,E399,IF(ISBLANK(E399),IF(ISBLANK(E400),T(E399),"ERREUR"),"ERREUR"))</f>
        <v/>
      </c>
      <c r="O399" s="38" t="str">
        <f>IF(COUNTIF($W$4:$W$5,F399)&gt;0,F399,IF(ISBLANK(F399),IF(ISBLANK(F400),T(F399),"ERREUR"),"ERREUR"))</f>
        <v/>
      </c>
      <c r="P399" s="38" t="str">
        <f>IF(COUNTIF($X$4:$X$8,G399)&gt;0,G399,IF(ISBLANK(G399),IF(ISBLANK(G400),T(G399),"ERREUR"),"ERREUR"))</f>
        <v/>
      </c>
      <c r="Q399" s="38" t="str">
        <f>IF(ISNUMBER(H399),IF(INT(H399)=H399,H399,"ERREUR"),IF(ISBLANK(H399),IF(ISBLANK(H400),T(H399),"ERREUR"),"ERREUR"))</f>
        <v/>
      </c>
      <c r="R399" s="38"/>
      <c r="S399" s="38"/>
      <c r="T399" s="38"/>
      <c r="U399" s="38"/>
      <c r="V399" s="38"/>
      <c r="W399" s="38"/>
      <c r="X399" s="53"/>
      <c r="Y399" s="42"/>
      <c r="Z399" s="42"/>
      <c r="AA399" s="42"/>
    </row>
    <row r="400" ht="13.75" customHeight="1">
      <c r="A400" s="14" t="s">
        <v>140</v>
      </c>
      <c r="B400" s="50"/>
      <c r="C400" s="43"/>
      <c r="D400" s="43"/>
      <c r="E400" s="44"/>
      <c r="F400" s="44"/>
      <c r="G400" s="44"/>
      <c r="H400" s="45"/>
      <c r="I400" s="54"/>
      <c r="J400" s="47" t="str">
        <f>IF(OR(K400="ERREUR",L400="ERREUR",M400="ERREUR",N400="ERREUR",O400="ERREUR",P400="ERREUR",Q400="ERREUR"),"ERREUR",IF(AND(K400="",L400="",M400="",N400="",O400="",P400="",Q400=""),"ligne vide",IF(OR(K400="",L400="",M400="",N400="",O400="",P400="",Q400=""),"ligne incomplète","Valide")))</f>
        <v xml:space="preserve">ligne vide</v>
      </c>
      <c r="K400" s="48" t="str">
        <f>IF(ISBLANK(B400),IF(ISBLANK(B401),T(B400),"ERREUR"),IF(ISNUMBER(B400),_xlfn.NUMBERVALUE(B400),IF(ISTEXT(B400),VALUE(B400),"ERREUR")))</f>
        <v/>
      </c>
      <c r="L400" s="38" t="str">
        <f>IF(COUNTIF($R$4:$R$6,C400)&gt;0,C400,IF(ISBLANK(C400),IF(ISBLANK(D400),T(C400),"ERREUR"),"ERREUR"))</f>
        <v/>
      </c>
      <c r="M400" s="49" t="str">
        <f>IF(ISBLANK(D400),IF(ISBLANK(D401),T(D400),"ERREUR"),IF(COUNTIF($T$4:$T$240,SUBSTITUTE(SUBSTITUTE(SUBSTITUTE(SUBSTITUTE(SUBSTITUTE(SUBSTITUTE(UPPER(D400),"Å","A"),"É","E"),"È","E"),"Ê","E"),"Î","I"),"Ï","I"))&gt;0,D400,IF(ISBLANK(D400),T(D400),"ERREUR")))</f>
        <v/>
      </c>
      <c r="N400" s="38" t="str">
        <f>IF(COUNTIF($V$4:$V$6,E400)&gt;0,E400,IF(ISBLANK(E400),IF(ISBLANK(E401),T(E400),"ERREUR"),"ERREUR"))</f>
        <v/>
      </c>
      <c r="O400" s="38" t="str">
        <f>IF(COUNTIF($W$4:$W$5,F400)&gt;0,F400,IF(ISBLANK(F400),IF(ISBLANK(F401),T(F400),"ERREUR"),"ERREUR"))</f>
        <v/>
      </c>
      <c r="P400" s="38" t="str">
        <f>IF(COUNTIF($X$4:$X$8,G400)&gt;0,G400,IF(ISBLANK(G400),IF(ISBLANK(G401),T(G400),"ERREUR"),"ERREUR"))</f>
        <v/>
      </c>
      <c r="Q400" s="38" t="str">
        <f>IF(ISNUMBER(H400),IF(INT(H400)=H400,H400,"ERREUR"),IF(ISBLANK(H400),IF(ISBLANK(H401),T(H400),"ERREUR"),"ERREUR"))</f>
        <v/>
      </c>
      <c r="R400" s="38"/>
      <c r="S400" s="38"/>
      <c r="T400" s="38"/>
      <c r="U400" s="38"/>
      <c r="V400" s="38"/>
      <c r="W400" s="38"/>
      <c r="X400" s="53"/>
      <c r="Y400" s="42"/>
      <c r="Z400" s="42"/>
      <c r="AA400" s="42"/>
    </row>
    <row r="401" ht="13.75" customHeight="1">
      <c r="A401" s="14" t="s">
        <v>140</v>
      </c>
      <c r="B401" s="50"/>
      <c r="C401" s="43"/>
      <c r="D401" s="43"/>
      <c r="E401" s="44"/>
      <c r="F401" s="44"/>
      <c r="G401" s="44"/>
      <c r="H401" s="45"/>
      <c r="I401" s="54"/>
      <c r="J401" s="47" t="str">
        <f>IF(OR(K401="ERREUR",L401="ERREUR",M401="ERREUR",N401="ERREUR",O401="ERREUR",P401="ERREUR",Q401="ERREUR"),"ERREUR",IF(AND(K401="",L401="",M401="",N401="",O401="",P401="",Q401=""),"ligne vide",IF(OR(K401="",L401="",M401="",N401="",O401="",P401="",Q401=""),"ligne incomplète","Valide")))</f>
        <v xml:space="preserve">ligne vide</v>
      </c>
      <c r="K401" s="48" t="str">
        <f>IF(ISBLANK(B401),IF(ISBLANK(B402),T(B401),"ERREUR"),IF(ISNUMBER(B401),_xlfn.NUMBERVALUE(B401),IF(ISTEXT(B401),VALUE(B401),"ERREUR")))</f>
        <v/>
      </c>
      <c r="L401" s="38" t="str">
        <f>IF(COUNTIF($R$4:$R$6,C401)&gt;0,C401,IF(ISBLANK(C401),IF(ISBLANK(D401),T(C401),"ERREUR"),"ERREUR"))</f>
        <v/>
      </c>
      <c r="M401" s="49" t="str">
        <f>IF(ISBLANK(D401),IF(ISBLANK(D402),T(D401),"ERREUR"),IF(COUNTIF($T$4:$T$240,SUBSTITUTE(SUBSTITUTE(SUBSTITUTE(SUBSTITUTE(SUBSTITUTE(SUBSTITUTE(UPPER(D401),"Å","A"),"É","E"),"È","E"),"Ê","E"),"Î","I"),"Ï","I"))&gt;0,D401,IF(ISBLANK(D401),T(D401),"ERREUR")))</f>
        <v/>
      </c>
      <c r="N401" s="38" t="str">
        <f>IF(COUNTIF($V$4:$V$6,E401)&gt;0,E401,IF(ISBLANK(E401),IF(ISBLANK(E402),T(E401),"ERREUR"),"ERREUR"))</f>
        <v/>
      </c>
      <c r="O401" s="38" t="str">
        <f>IF(COUNTIF($W$4:$W$5,F401)&gt;0,F401,IF(ISBLANK(F401),IF(ISBLANK(F402),T(F401),"ERREUR"),"ERREUR"))</f>
        <v/>
      </c>
      <c r="P401" s="38" t="str">
        <f>IF(COUNTIF($X$4:$X$8,G401)&gt;0,G401,IF(ISBLANK(G401),IF(ISBLANK(G402),T(G401),"ERREUR"),"ERREUR"))</f>
        <v/>
      </c>
      <c r="Q401" s="38" t="str">
        <f>IF(ISNUMBER(H401),IF(INT(H401)=H401,H401,"ERREUR"),IF(ISBLANK(H401),IF(ISBLANK(H402),T(H401),"ERREUR"),"ERREUR"))</f>
        <v/>
      </c>
      <c r="R401" s="38"/>
      <c r="S401" s="38"/>
      <c r="T401" s="38"/>
      <c r="U401" s="38"/>
      <c r="V401" s="38"/>
      <c r="W401" s="38"/>
      <c r="X401" s="53"/>
      <c r="Y401" s="42"/>
      <c r="Z401" s="42"/>
      <c r="AA401" s="42"/>
    </row>
    <row r="402" ht="13.75" customHeight="1">
      <c r="A402" s="14" t="s">
        <v>140</v>
      </c>
      <c r="B402" s="50"/>
      <c r="C402" s="43"/>
      <c r="D402" s="43"/>
      <c r="E402" s="44"/>
      <c r="F402" s="44"/>
      <c r="G402" s="44"/>
      <c r="H402" s="45"/>
      <c r="I402" s="54"/>
      <c r="J402" s="47" t="str">
        <f>IF(OR(K402="ERREUR",L402="ERREUR",M402="ERREUR",N402="ERREUR",O402="ERREUR",P402="ERREUR",Q402="ERREUR"),"ERREUR",IF(AND(K402="",L402="",M402="",N402="",O402="",P402="",Q402=""),"ligne vide",IF(OR(K402="",L402="",M402="",N402="",O402="",P402="",Q402=""),"ligne incomplète","Valide")))</f>
        <v xml:space="preserve">ligne vide</v>
      </c>
      <c r="K402" s="48" t="str">
        <f>IF(ISBLANK(B402),IF(ISBLANK(B403),T(B402),"ERREUR"),IF(ISNUMBER(B402),_xlfn.NUMBERVALUE(B402),IF(ISTEXT(B402),VALUE(B402),"ERREUR")))</f>
        <v/>
      </c>
      <c r="L402" s="38" t="str">
        <f>IF(COUNTIF($R$4:$R$6,C402)&gt;0,C402,IF(ISBLANK(C402),IF(ISBLANK(D402),T(C402),"ERREUR"),"ERREUR"))</f>
        <v/>
      </c>
      <c r="M402" s="49" t="str">
        <f>IF(ISBLANK(D402),IF(ISBLANK(D403),T(D402),"ERREUR"),IF(COUNTIF($T$4:$T$240,SUBSTITUTE(SUBSTITUTE(SUBSTITUTE(SUBSTITUTE(SUBSTITUTE(SUBSTITUTE(UPPER(D402),"Å","A"),"É","E"),"È","E"),"Ê","E"),"Î","I"),"Ï","I"))&gt;0,D402,IF(ISBLANK(D402),T(D402),"ERREUR")))</f>
        <v/>
      </c>
      <c r="N402" s="38" t="str">
        <f>IF(COUNTIF($V$4:$V$6,E402)&gt;0,E402,IF(ISBLANK(E402),IF(ISBLANK(E403),T(E402),"ERREUR"),"ERREUR"))</f>
        <v/>
      </c>
      <c r="O402" s="38" t="str">
        <f>IF(COUNTIF($W$4:$W$5,F402)&gt;0,F402,IF(ISBLANK(F402),IF(ISBLANK(F403),T(F402),"ERREUR"),"ERREUR"))</f>
        <v/>
      </c>
      <c r="P402" s="38" t="str">
        <f>IF(COUNTIF($X$4:$X$8,G402)&gt;0,G402,IF(ISBLANK(G402),IF(ISBLANK(G403),T(G402),"ERREUR"),"ERREUR"))</f>
        <v/>
      </c>
      <c r="Q402" s="38" t="str">
        <f>IF(ISNUMBER(H402),IF(INT(H402)=H402,H402,"ERREUR"),IF(ISBLANK(H402),IF(ISBLANK(H403),T(H402),"ERREUR"),"ERREUR"))</f>
        <v/>
      </c>
      <c r="R402" s="38"/>
      <c r="S402" s="38"/>
      <c r="T402" s="38"/>
      <c r="U402" s="38"/>
      <c r="V402" s="38"/>
      <c r="W402" s="38"/>
      <c r="X402" s="53"/>
      <c r="Y402" s="42"/>
      <c r="Z402" s="42"/>
      <c r="AA402" s="42"/>
    </row>
    <row r="403" ht="13.75" customHeight="1">
      <c r="A403" s="14" t="s">
        <v>140</v>
      </c>
      <c r="B403" s="50"/>
      <c r="C403" s="43"/>
      <c r="D403" s="43"/>
      <c r="E403" s="44"/>
      <c r="F403" s="44"/>
      <c r="G403" s="44"/>
      <c r="H403" s="45"/>
      <c r="I403" s="54"/>
      <c r="J403" s="47" t="str">
        <f>IF(OR(K403="ERREUR",L403="ERREUR",M403="ERREUR",N403="ERREUR",O403="ERREUR",P403="ERREUR",Q403="ERREUR"),"ERREUR",IF(AND(K403="",L403="",M403="",N403="",O403="",P403="",Q403=""),"ligne vide",IF(OR(K403="",L403="",M403="",N403="",O403="",P403="",Q403=""),"ligne incomplète","Valide")))</f>
        <v xml:space="preserve">ligne vide</v>
      </c>
      <c r="K403" s="48" t="str">
        <f>IF(ISBLANK(B403),IF(ISBLANK(B404),T(B403),"ERREUR"),IF(ISNUMBER(B403),_xlfn.NUMBERVALUE(B403),IF(ISTEXT(B403),VALUE(B403),"ERREUR")))</f>
        <v/>
      </c>
      <c r="L403" s="38" t="str">
        <f>IF(COUNTIF($R$4:$R$6,C403)&gt;0,C403,IF(ISBLANK(C403),IF(ISBLANK(D403),T(C403),"ERREUR"),"ERREUR"))</f>
        <v/>
      </c>
      <c r="M403" s="49" t="str">
        <f>IF(ISBLANK(D403),IF(ISBLANK(D404),T(D403),"ERREUR"),IF(COUNTIF($T$4:$T$240,SUBSTITUTE(SUBSTITUTE(SUBSTITUTE(SUBSTITUTE(SUBSTITUTE(SUBSTITUTE(UPPER(D403),"Å","A"),"É","E"),"È","E"),"Ê","E"),"Î","I"),"Ï","I"))&gt;0,D403,IF(ISBLANK(D403),T(D403),"ERREUR")))</f>
        <v/>
      </c>
      <c r="N403" s="38" t="str">
        <f>IF(COUNTIF($V$4:$V$6,E403)&gt;0,E403,IF(ISBLANK(E403),IF(ISBLANK(E404),T(E403),"ERREUR"),"ERREUR"))</f>
        <v/>
      </c>
      <c r="O403" s="38" t="str">
        <f>IF(COUNTIF($W$4:$W$5,F403)&gt;0,F403,IF(ISBLANK(F403),IF(ISBLANK(F404),T(F403),"ERREUR"),"ERREUR"))</f>
        <v/>
      </c>
      <c r="P403" s="38" t="str">
        <f>IF(COUNTIF($X$4:$X$8,G403)&gt;0,G403,IF(ISBLANK(G403),IF(ISBLANK(G404),T(G403),"ERREUR"),"ERREUR"))</f>
        <v/>
      </c>
      <c r="Q403" s="38" t="str">
        <f>IF(ISNUMBER(H403),IF(INT(H403)=H403,H403,"ERREUR"),IF(ISBLANK(H403),IF(ISBLANK(H404),T(H403),"ERREUR"),"ERREUR"))</f>
        <v/>
      </c>
      <c r="R403" s="38"/>
      <c r="S403" s="38"/>
      <c r="T403" s="38"/>
      <c r="U403" s="38"/>
      <c r="V403" s="38"/>
      <c r="W403" s="38"/>
      <c r="X403" s="53"/>
      <c r="Y403" s="42"/>
      <c r="Z403" s="42"/>
      <c r="AA403" s="42"/>
    </row>
    <row r="404" ht="13.75" customHeight="1">
      <c r="A404" s="14" t="s">
        <v>140</v>
      </c>
      <c r="B404" s="50"/>
      <c r="C404" s="43"/>
      <c r="D404" s="43"/>
      <c r="E404" s="44"/>
      <c r="F404" s="44"/>
      <c r="G404" s="44"/>
      <c r="H404" s="45"/>
      <c r="I404" s="54"/>
      <c r="J404" s="47" t="str">
        <f>IF(OR(K404="ERREUR",L404="ERREUR",M404="ERREUR",N404="ERREUR",O404="ERREUR",P404="ERREUR",Q404="ERREUR"),"ERREUR",IF(AND(K404="",L404="",M404="",N404="",O404="",P404="",Q404=""),"ligne vide",IF(OR(K404="",L404="",M404="",N404="",O404="",P404="",Q404=""),"ligne incomplète","Valide")))</f>
        <v xml:space="preserve">ligne vide</v>
      </c>
      <c r="K404" s="48" t="str">
        <f>IF(ISBLANK(B404),IF(ISBLANK(B405),T(B404),"ERREUR"),IF(ISNUMBER(B404),_xlfn.NUMBERVALUE(B404),IF(ISTEXT(B404),VALUE(B404),"ERREUR")))</f>
        <v/>
      </c>
      <c r="L404" s="38" t="str">
        <f>IF(COUNTIF($R$4:$R$6,C404)&gt;0,C404,IF(ISBLANK(C404),IF(ISBLANK(D404),T(C404),"ERREUR"),"ERREUR"))</f>
        <v/>
      </c>
      <c r="M404" s="49" t="str">
        <f>IF(ISBLANK(D404),IF(ISBLANK(D405),T(D404),"ERREUR"),IF(COUNTIF($T$4:$T$240,SUBSTITUTE(SUBSTITUTE(SUBSTITUTE(SUBSTITUTE(SUBSTITUTE(SUBSTITUTE(UPPER(D404),"Å","A"),"É","E"),"È","E"),"Ê","E"),"Î","I"),"Ï","I"))&gt;0,D404,IF(ISBLANK(D404),T(D404),"ERREUR")))</f>
        <v/>
      </c>
      <c r="N404" s="38" t="str">
        <f>IF(COUNTIF($V$4:$V$6,E404)&gt;0,E404,IF(ISBLANK(E404),IF(ISBLANK(E405),T(E404),"ERREUR"),"ERREUR"))</f>
        <v/>
      </c>
      <c r="O404" s="38" t="str">
        <f>IF(COUNTIF($W$4:$W$5,F404)&gt;0,F404,IF(ISBLANK(F404),IF(ISBLANK(F405),T(F404),"ERREUR"),"ERREUR"))</f>
        <v/>
      </c>
      <c r="P404" s="38" t="str">
        <f>IF(COUNTIF($X$4:$X$8,G404)&gt;0,G404,IF(ISBLANK(G404),IF(ISBLANK(G405),T(G404),"ERREUR"),"ERREUR"))</f>
        <v/>
      </c>
      <c r="Q404" s="38" t="str">
        <f>IF(ISNUMBER(H404),IF(INT(H404)=H404,H404,"ERREUR"),IF(ISBLANK(H404),IF(ISBLANK(H405),T(H404),"ERREUR"),"ERREUR"))</f>
        <v/>
      </c>
      <c r="R404" s="38"/>
      <c r="S404" s="38"/>
      <c r="T404" s="38"/>
      <c r="U404" s="38"/>
      <c r="V404" s="38"/>
      <c r="W404" s="38"/>
      <c r="X404" s="53"/>
      <c r="Y404" s="42"/>
      <c r="Z404" s="42"/>
      <c r="AA404" s="42"/>
    </row>
    <row r="405" ht="13.75" customHeight="1">
      <c r="A405" s="14" t="s">
        <v>140</v>
      </c>
      <c r="B405" s="50"/>
      <c r="C405" s="43"/>
      <c r="D405" s="43"/>
      <c r="E405" s="44"/>
      <c r="F405" s="44"/>
      <c r="G405" s="44"/>
      <c r="H405" s="45"/>
      <c r="I405" s="54"/>
      <c r="J405" s="47" t="str">
        <f>IF(OR(K405="ERREUR",L405="ERREUR",M405="ERREUR",N405="ERREUR",O405="ERREUR",P405="ERREUR",Q405="ERREUR"),"ERREUR",IF(AND(K405="",L405="",M405="",N405="",O405="",P405="",Q405=""),"ligne vide",IF(OR(K405="",L405="",M405="",N405="",O405="",P405="",Q405=""),"ligne incomplète","Valide")))</f>
        <v xml:space="preserve">ligne vide</v>
      </c>
      <c r="K405" s="48" t="str">
        <f>IF(ISBLANK(B405),IF(ISBLANK(B406),T(B405),"ERREUR"),IF(ISNUMBER(B405),_xlfn.NUMBERVALUE(B405),IF(ISTEXT(B405),VALUE(B405),"ERREUR")))</f>
        <v/>
      </c>
      <c r="L405" s="38" t="str">
        <f>IF(COUNTIF($R$4:$R$6,C405)&gt;0,C405,IF(ISBLANK(C405),IF(ISBLANK(D405),T(C405),"ERREUR"),"ERREUR"))</f>
        <v/>
      </c>
      <c r="M405" s="49" t="str">
        <f>IF(ISBLANK(D405),IF(ISBLANK(D406),T(D405),"ERREUR"),IF(COUNTIF($T$4:$T$240,SUBSTITUTE(SUBSTITUTE(SUBSTITUTE(SUBSTITUTE(SUBSTITUTE(SUBSTITUTE(UPPER(D405),"Å","A"),"É","E"),"È","E"),"Ê","E"),"Î","I"),"Ï","I"))&gt;0,D405,IF(ISBLANK(D405),T(D405),"ERREUR")))</f>
        <v/>
      </c>
      <c r="N405" s="38" t="str">
        <f>IF(COUNTIF($V$4:$V$6,E405)&gt;0,E405,IF(ISBLANK(E405),IF(ISBLANK(E406),T(E405),"ERREUR"),"ERREUR"))</f>
        <v/>
      </c>
      <c r="O405" s="38" t="str">
        <f>IF(COUNTIF($W$4:$W$5,F405)&gt;0,F405,IF(ISBLANK(F405),IF(ISBLANK(F406),T(F405),"ERREUR"),"ERREUR"))</f>
        <v/>
      </c>
      <c r="P405" s="38" t="str">
        <f>IF(COUNTIF($X$4:$X$8,G405)&gt;0,G405,IF(ISBLANK(G405),IF(ISBLANK(G406),T(G405),"ERREUR"),"ERREUR"))</f>
        <v/>
      </c>
      <c r="Q405" s="38" t="str">
        <f>IF(ISNUMBER(H405),IF(INT(H405)=H405,H405,"ERREUR"),IF(ISBLANK(H405),IF(ISBLANK(H406),T(H405),"ERREUR"),"ERREUR"))</f>
        <v/>
      </c>
      <c r="R405" s="38"/>
      <c r="S405" s="38"/>
      <c r="T405" s="38"/>
      <c r="U405" s="38"/>
      <c r="V405" s="38"/>
      <c r="W405" s="38"/>
      <c r="X405" s="53"/>
      <c r="Y405" s="42"/>
      <c r="Z405" s="42"/>
      <c r="AA405" s="42"/>
    </row>
    <row r="406" ht="13.75" customHeight="1">
      <c r="A406" s="14" t="s">
        <v>140</v>
      </c>
      <c r="B406" s="50"/>
      <c r="C406" s="43"/>
      <c r="D406" s="43"/>
      <c r="E406" s="44"/>
      <c r="F406" s="44"/>
      <c r="G406" s="44"/>
      <c r="H406" s="45"/>
      <c r="I406" s="54"/>
      <c r="J406" s="47" t="str">
        <f>IF(OR(K406="ERREUR",L406="ERREUR",M406="ERREUR",N406="ERREUR",O406="ERREUR",P406="ERREUR",Q406="ERREUR"),"ERREUR",IF(AND(K406="",L406="",M406="",N406="",O406="",P406="",Q406=""),"ligne vide",IF(OR(K406="",L406="",M406="",N406="",O406="",P406="",Q406=""),"ligne incomplète","Valide")))</f>
        <v xml:space="preserve">ligne vide</v>
      </c>
      <c r="K406" s="48" t="str">
        <f>IF(ISBLANK(B406),IF(ISBLANK(B407),T(B406),"ERREUR"),IF(ISNUMBER(B406),_xlfn.NUMBERVALUE(B406),IF(ISTEXT(B406),VALUE(B406),"ERREUR")))</f>
        <v/>
      </c>
      <c r="L406" s="38" t="str">
        <f>IF(COUNTIF($R$4:$R$6,C406)&gt;0,C406,IF(ISBLANK(C406),IF(ISBLANK(D406),T(C406),"ERREUR"),"ERREUR"))</f>
        <v/>
      </c>
      <c r="M406" s="49" t="str">
        <f>IF(ISBLANK(D406),IF(ISBLANK(D407),T(D406),"ERREUR"),IF(COUNTIF($T$4:$T$240,SUBSTITUTE(SUBSTITUTE(SUBSTITUTE(SUBSTITUTE(SUBSTITUTE(SUBSTITUTE(UPPER(D406),"Å","A"),"É","E"),"È","E"),"Ê","E"),"Î","I"),"Ï","I"))&gt;0,D406,IF(ISBLANK(D406),T(D406),"ERREUR")))</f>
        <v/>
      </c>
      <c r="N406" s="38" t="str">
        <f>IF(COUNTIF($V$4:$V$6,E406)&gt;0,E406,IF(ISBLANK(E406),IF(ISBLANK(E407),T(E406),"ERREUR"),"ERREUR"))</f>
        <v/>
      </c>
      <c r="O406" s="38" t="str">
        <f>IF(COUNTIF($W$4:$W$5,F406)&gt;0,F406,IF(ISBLANK(F406),IF(ISBLANK(F407),T(F406),"ERREUR"),"ERREUR"))</f>
        <v/>
      </c>
      <c r="P406" s="38" t="str">
        <f>IF(COUNTIF($X$4:$X$8,G406)&gt;0,G406,IF(ISBLANK(G406),IF(ISBLANK(G407),T(G406),"ERREUR"),"ERREUR"))</f>
        <v/>
      </c>
      <c r="Q406" s="38" t="str">
        <f>IF(ISNUMBER(H406),IF(INT(H406)=H406,H406,"ERREUR"),IF(ISBLANK(H406),IF(ISBLANK(H407),T(H406),"ERREUR"),"ERREUR"))</f>
        <v/>
      </c>
      <c r="R406" s="38"/>
      <c r="S406" s="38"/>
      <c r="T406" s="38"/>
      <c r="U406" s="38"/>
      <c r="V406" s="38"/>
      <c r="W406" s="38"/>
      <c r="X406" s="53"/>
      <c r="Y406" s="42"/>
      <c r="Z406" s="42"/>
      <c r="AA406" s="42"/>
    </row>
    <row r="407" ht="13.75" customHeight="1">
      <c r="A407" s="14" t="s">
        <v>140</v>
      </c>
      <c r="B407" s="50"/>
      <c r="C407" s="43"/>
      <c r="D407" s="43"/>
      <c r="E407" s="44"/>
      <c r="F407" s="44"/>
      <c r="G407" s="44"/>
      <c r="H407" s="45"/>
      <c r="I407" s="54"/>
      <c r="J407" s="47" t="str">
        <f>IF(OR(K407="ERREUR",L407="ERREUR",M407="ERREUR",N407="ERREUR",O407="ERREUR",P407="ERREUR",Q407="ERREUR"),"ERREUR",IF(AND(K407="",L407="",M407="",N407="",O407="",P407="",Q407=""),"ligne vide",IF(OR(K407="",L407="",M407="",N407="",O407="",P407="",Q407=""),"ligne incomplète","Valide")))</f>
        <v xml:space="preserve">ligne vide</v>
      </c>
      <c r="K407" s="48" t="str">
        <f>IF(ISBLANK(B407),IF(ISBLANK(B408),T(B407),"ERREUR"),IF(ISNUMBER(B407),_xlfn.NUMBERVALUE(B407),IF(ISTEXT(B407),VALUE(B407),"ERREUR")))</f>
        <v/>
      </c>
      <c r="L407" s="38" t="str">
        <f>IF(COUNTIF($R$4:$R$6,C407)&gt;0,C407,IF(ISBLANK(C407),IF(ISBLANK(D407),T(C407),"ERREUR"),"ERREUR"))</f>
        <v/>
      </c>
      <c r="M407" s="49" t="str">
        <f>IF(ISBLANK(D407),IF(ISBLANK(D408),T(D407),"ERREUR"),IF(COUNTIF($T$4:$T$240,SUBSTITUTE(SUBSTITUTE(SUBSTITUTE(SUBSTITUTE(SUBSTITUTE(SUBSTITUTE(UPPER(D407),"Å","A"),"É","E"),"È","E"),"Ê","E"),"Î","I"),"Ï","I"))&gt;0,D407,IF(ISBLANK(D407),T(D407),"ERREUR")))</f>
        <v/>
      </c>
      <c r="N407" s="38" t="str">
        <f>IF(COUNTIF($V$4:$V$6,E407)&gt;0,E407,IF(ISBLANK(E407),IF(ISBLANK(E408),T(E407),"ERREUR"),"ERREUR"))</f>
        <v/>
      </c>
      <c r="O407" s="38" t="str">
        <f>IF(COUNTIF($W$4:$W$5,F407)&gt;0,F407,IF(ISBLANK(F407),IF(ISBLANK(F408),T(F407),"ERREUR"),"ERREUR"))</f>
        <v/>
      </c>
      <c r="P407" s="38" t="str">
        <f>IF(COUNTIF($X$4:$X$8,G407)&gt;0,G407,IF(ISBLANK(G407),IF(ISBLANK(G408),T(G407),"ERREUR"),"ERREUR"))</f>
        <v/>
      </c>
      <c r="Q407" s="38" t="str">
        <f>IF(ISNUMBER(H407),IF(INT(H407)=H407,H407,"ERREUR"),IF(ISBLANK(H407),IF(ISBLANK(H408),T(H407),"ERREUR"),"ERREUR"))</f>
        <v/>
      </c>
      <c r="R407" s="38"/>
      <c r="S407" s="38"/>
      <c r="T407" s="38"/>
      <c r="U407" s="38"/>
      <c r="V407" s="38"/>
      <c r="W407" s="38"/>
      <c r="X407" s="53"/>
      <c r="Y407" s="42"/>
      <c r="Z407" s="42"/>
      <c r="AA407" s="42"/>
    </row>
    <row r="408" ht="13.75" customHeight="1">
      <c r="A408" s="14" t="s">
        <v>140</v>
      </c>
      <c r="B408" s="50"/>
      <c r="C408" s="43"/>
      <c r="D408" s="43"/>
      <c r="E408" s="44"/>
      <c r="F408" s="44"/>
      <c r="G408" s="44"/>
      <c r="H408" s="45"/>
      <c r="I408" s="54"/>
      <c r="J408" s="47" t="str">
        <f>IF(OR(K408="ERREUR",L408="ERREUR",M408="ERREUR",N408="ERREUR",O408="ERREUR",P408="ERREUR",Q408="ERREUR"),"ERREUR",IF(AND(K408="",L408="",M408="",N408="",O408="",P408="",Q408=""),"ligne vide",IF(OR(K408="",L408="",M408="",N408="",O408="",P408="",Q408=""),"ligne incomplète","Valide")))</f>
        <v xml:space="preserve">ligne vide</v>
      </c>
      <c r="K408" s="48" t="str">
        <f>IF(ISBLANK(B408),IF(ISBLANK(B409),T(B408),"ERREUR"),IF(ISNUMBER(B408),_xlfn.NUMBERVALUE(B408),IF(ISTEXT(B408),VALUE(B408),"ERREUR")))</f>
        <v/>
      </c>
      <c r="L408" s="38" t="str">
        <f>IF(COUNTIF($R$4:$R$6,C408)&gt;0,C408,IF(ISBLANK(C408),IF(ISBLANK(D408),T(C408),"ERREUR"),"ERREUR"))</f>
        <v/>
      </c>
      <c r="M408" s="49" t="str">
        <f>IF(ISBLANK(D408),IF(ISBLANK(D409),T(D408),"ERREUR"),IF(COUNTIF($T$4:$T$240,SUBSTITUTE(SUBSTITUTE(SUBSTITUTE(SUBSTITUTE(SUBSTITUTE(SUBSTITUTE(UPPER(D408),"Å","A"),"É","E"),"È","E"),"Ê","E"),"Î","I"),"Ï","I"))&gt;0,D408,IF(ISBLANK(D408),T(D408),"ERREUR")))</f>
        <v/>
      </c>
      <c r="N408" s="38" t="str">
        <f>IF(COUNTIF($V$4:$V$6,E408)&gt;0,E408,IF(ISBLANK(E408),IF(ISBLANK(E409),T(E408),"ERREUR"),"ERREUR"))</f>
        <v/>
      </c>
      <c r="O408" s="38" t="str">
        <f>IF(COUNTIF($W$4:$W$5,F408)&gt;0,F408,IF(ISBLANK(F408),IF(ISBLANK(F409),T(F408),"ERREUR"),"ERREUR"))</f>
        <v/>
      </c>
      <c r="P408" s="38" t="str">
        <f>IF(COUNTIF($X$4:$X$8,G408)&gt;0,G408,IF(ISBLANK(G408),IF(ISBLANK(G409),T(G408),"ERREUR"),"ERREUR"))</f>
        <v/>
      </c>
      <c r="Q408" s="38" t="str">
        <f>IF(ISNUMBER(H408),IF(INT(H408)=H408,H408,"ERREUR"),IF(ISBLANK(H408),IF(ISBLANK(H409),T(H408),"ERREUR"),"ERREUR"))</f>
        <v/>
      </c>
      <c r="R408" s="38"/>
      <c r="S408" s="38"/>
      <c r="T408" s="38"/>
      <c r="U408" s="38"/>
      <c r="V408" s="38"/>
      <c r="W408" s="38"/>
      <c r="X408" s="53"/>
      <c r="Y408" s="42"/>
      <c r="Z408" s="42"/>
      <c r="AA408" s="42"/>
    </row>
    <row r="409" ht="13.75" customHeight="1">
      <c r="A409" s="14" t="s">
        <v>140</v>
      </c>
      <c r="B409" s="50"/>
      <c r="C409" s="43"/>
      <c r="D409" s="43"/>
      <c r="E409" s="44"/>
      <c r="F409" s="44"/>
      <c r="G409" s="44"/>
      <c r="H409" s="45"/>
      <c r="I409" s="54"/>
      <c r="J409" s="47" t="str">
        <f>IF(OR(K409="ERREUR",L409="ERREUR",M409="ERREUR",N409="ERREUR",O409="ERREUR",P409="ERREUR",Q409="ERREUR"),"ERREUR",IF(AND(K409="",L409="",M409="",N409="",O409="",P409="",Q409=""),"ligne vide",IF(OR(K409="",L409="",M409="",N409="",O409="",P409="",Q409=""),"ligne incomplète","Valide")))</f>
        <v xml:space="preserve">ligne vide</v>
      </c>
      <c r="K409" s="48" t="str">
        <f>IF(ISBLANK(B409),IF(ISBLANK(B410),T(B409),"ERREUR"),IF(ISNUMBER(B409),_xlfn.NUMBERVALUE(B409),IF(ISTEXT(B409),VALUE(B409),"ERREUR")))</f>
        <v/>
      </c>
      <c r="L409" s="38" t="str">
        <f>IF(COUNTIF($R$4:$R$6,C409)&gt;0,C409,IF(ISBLANK(C409),IF(ISBLANK(D409),T(C409),"ERREUR"),"ERREUR"))</f>
        <v/>
      </c>
      <c r="M409" s="49" t="str">
        <f>IF(ISBLANK(D409),IF(ISBLANK(D410),T(D409),"ERREUR"),IF(COUNTIF($T$4:$T$240,SUBSTITUTE(SUBSTITUTE(SUBSTITUTE(SUBSTITUTE(SUBSTITUTE(SUBSTITUTE(UPPER(D409),"Å","A"),"É","E"),"È","E"),"Ê","E"),"Î","I"),"Ï","I"))&gt;0,D409,IF(ISBLANK(D409),T(D409),"ERREUR")))</f>
        <v/>
      </c>
      <c r="N409" s="38" t="str">
        <f>IF(COUNTIF($V$4:$V$6,E409)&gt;0,E409,IF(ISBLANK(E409),IF(ISBLANK(E410),T(E409),"ERREUR"),"ERREUR"))</f>
        <v/>
      </c>
      <c r="O409" s="38" t="str">
        <f>IF(COUNTIF($W$4:$W$5,F409)&gt;0,F409,IF(ISBLANK(F409),IF(ISBLANK(F410),T(F409),"ERREUR"),"ERREUR"))</f>
        <v/>
      </c>
      <c r="P409" s="38" t="str">
        <f>IF(COUNTIF($X$4:$X$8,G409)&gt;0,G409,IF(ISBLANK(G409),IF(ISBLANK(G410),T(G409),"ERREUR"),"ERREUR"))</f>
        <v/>
      </c>
      <c r="Q409" s="38" t="str">
        <f>IF(ISNUMBER(H409),IF(INT(H409)=H409,H409,"ERREUR"),IF(ISBLANK(H409),IF(ISBLANK(H410),T(H409),"ERREUR"),"ERREUR"))</f>
        <v/>
      </c>
      <c r="R409" s="38"/>
      <c r="S409" s="38"/>
      <c r="T409" s="38"/>
      <c r="U409" s="38"/>
      <c r="V409" s="38"/>
      <c r="W409" s="38"/>
      <c r="X409" s="53"/>
      <c r="Y409" s="42"/>
      <c r="Z409" s="42"/>
      <c r="AA409" s="42"/>
    </row>
    <row r="410" ht="13.75" customHeight="1">
      <c r="A410" s="14" t="s">
        <v>140</v>
      </c>
      <c r="B410" s="50"/>
      <c r="C410" s="43"/>
      <c r="D410" s="43"/>
      <c r="E410" s="44"/>
      <c r="F410" s="44"/>
      <c r="G410" s="44"/>
      <c r="H410" s="45"/>
      <c r="I410" s="54"/>
      <c r="J410" s="47" t="str">
        <f>IF(OR(K410="ERREUR",L410="ERREUR",M410="ERREUR",N410="ERREUR",O410="ERREUR",P410="ERREUR",Q410="ERREUR"),"ERREUR",IF(AND(K410="",L410="",M410="",N410="",O410="",P410="",Q410=""),"ligne vide",IF(OR(K410="",L410="",M410="",N410="",O410="",P410="",Q410=""),"ligne incomplète","Valide")))</f>
        <v xml:space="preserve">ligne vide</v>
      </c>
      <c r="K410" s="48" t="str">
        <f>IF(ISBLANK(B410),IF(ISBLANK(B411),T(B410),"ERREUR"),IF(ISNUMBER(B410),_xlfn.NUMBERVALUE(B410),IF(ISTEXT(B410),VALUE(B410),"ERREUR")))</f>
        <v/>
      </c>
      <c r="L410" s="38" t="str">
        <f>IF(COUNTIF($R$4:$R$6,C410)&gt;0,C410,IF(ISBLANK(C410),IF(ISBLANK(D410),T(C410),"ERREUR"),"ERREUR"))</f>
        <v/>
      </c>
      <c r="M410" s="49" t="str">
        <f>IF(ISBLANK(D410),IF(ISBLANK(D411),T(D410),"ERREUR"),IF(COUNTIF($T$4:$T$240,SUBSTITUTE(SUBSTITUTE(SUBSTITUTE(SUBSTITUTE(SUBSTITUTE(SUBSTITUTE(UPPER(D410),"Å","A"),"É","E"),"È","E"),"Ê","E"),"Î","I"),"Ï","I"))&gt;0,D410,IF(ISBLANK(D410),T(D410),"ERREUR")))</f>
        <v/>
      </c>
      <c r="N410" s="38" t="str">
        <f>IF(COUNTIF($V$4:$V$6,E410)&gt;0,E410,IF(ISBLANK(E410),IF(ISBLANK(E411),T(E410),"ERREUR"),"ERREUR"))</f>
        <v/>
      </c>
      <c r="O410" s="38" t="str">
        <f>IF(COUNTIF($W$4:$W$5,F410)&gt;0,F410,IF(ISBLANK(F410),IF(ISBLANK(F411),T(F410),"ERREUR"),"ERREUR"))</f>
        <v/>
      </c>
      <c r="P410" s="38" t="str">
        <f>IF(COUNTIF($X$4:$X$8,G410)&gt;0,G410,IF(ISBLANK(G410),IF(ISBLANK(G411),T(G410),"ERREUR"),"ERREUR"))</f>
        <v/>
      </c>
      <c r="Q410" s="38" t="str">
        <f>IF(ISNUMBER(H410),IF(INT(H410)=H410,H410,"ERREUR"),IF(ISBLANK(H410),IF(ISBLANK(H411),T(H410),"ERREUR"),"ERREUR"))</f>
        <v/>
      </c>
      <c r="R410" s="38"/>
      <c r="S410" s="38"/>
      <c r="T410" s="38"/>
      <c r="U410" s="38"/>
      <c r="V410" s="38"/>
      <c r="W410" s="38"/>
      <c r="X410" s="53"/>
      <c r="Y410" s="42"/>
      <c r="Z410" s="42"/>
      <c r="AA410" s="42"/>
    </row>
    <row r="411" ht="13.75" customHeight="1">
      <c r="A411" s="14" t="s">
        <v>140</v>
      </c>
      <c r="B411" s="50"/>
      <c r="C411" s="43"/>
      <c r="D411" s="43"/>
      <c r="E411" s="44"/>
      <c r="F411" s="44"/>
      <c r="G411" s="44"/>
      <c r="H411" s="45"/>
      <c r="I411" s="54"/>
      <c r="J411" s="47" t="str">
        <f>IF(OR(K411="ERREUR",L411="ERREUR",M411="ERREUR",N411="ERREUR",O411="ERREUR",P411="ERREUR",Q411="ERREUR"),"ERREUR",IF(AND(K411="",L411="",M411="",N411="",O411="",P411="",Q411=""),"ligne vide",IF(OR(K411="",L411="",M411="",N411="",O411="",P411="",Q411=""),"ligne incomplète","Valide")))</f>
        <v xml:space="preserve">ligne vide</v>
      </c>
      <c r="K411" s="48" t="str">
        <f>IF(ISBLANK(B411),IF(ISBLANK(B412),T(B411),"ERREUR"),IF(ISNUMBER(B411),_xlfn.NUMBERVALUE(B411),IF(ISTEXT(B411),VALUE(B411),"ERREUR")))</f>
        <v/>
      </c>
      <c r="L411" s="38" t="str">
        <f>IF(COUNTIF($R$4:$R$6,C411)&gt;0,C411,IF(ISBLANK(C411),IF(ISBLANK(D411),T(C411),"ERREUR"),"ERREUR"))</f>
        <v/>
      </c>
      <c r="M411" s="49" t="str">
        <f>IF(ISBLANK(D411),IF(ISBLANK(D412),T(D411),"ERREUR"),IF(COUNTIF($T$4:$T$240,SUBSTITUTE(SUBSTITUTE(SUBSTITUTE(SUBSTITUTE(SUBSTITUTE(SUBSTITUTE(UPPER(D411),"Å","A"),"É","E"),"È","E"),"Ê","E"),"Î","I"),"Ï","I"))&gt;0,D411,IF(ISBLANK(D411),T(D411),"ERREUR")))</f>
        <v/>
      </c>
      <c r="N411" s="38" t="str">
        <f>IF(COUNTIF($V$4:$V$6,E411)&gt;0,E411,IF(ISBLANK(E411),IF(ISBLANK(E412),T(E411),"ERREUR"),"ERREUR"))</f>
        <v/>
      </c>
      <c r="O411" s="38" t="str">
        <f>IF(COUNTIF($W$4:$W$5,F411)&gt;0,F411,IF(ISBLANK(F411),IF(ISBLANK(F412),T(F411),"ERREUR"),"ERREUR"))</f>
        <v/>
      </c>
      <c r="P411" s="38" t="str">
        <f>IF(COUNTIF($X$4:$X$8,G411)&gt;0,G411,IF(ISBLANK(G411),IF(ISBLANK(G412),T(G411),"ERREUR"),"ERREUR"))</f>
        <v/>
      </c>
      <c r="Q411" s="38" t="str">
        <f>IF(ISNUMBER(H411),IF(INT(H411)=H411,H411,"ERREUR"),IF(ISBLANK(H411),IF(ISBLANK(H412),T(H411),"ERREUR"),"ERREUR"))</f>
        <v/>
      </c>
      <c r="R411" s="38"/>
      <c r="S411" s="38"/>
      <c r="T411" s="38"/>
      <c r="U411" s="38"/>
      <c r="V411" s="38"/>
      <c r="W411" s="38"/>
      <c r="X411" s="53"/>
      <c r="Y411" s="42"/>
      <c r="Z411" s="42"/>
      <c r="AA411" s="42"/>
    </row>
    <row r="412" ht="13.75" customHeight="1">
      <c r="A412" s="14" t="s">
        <v>140</v>
      </c>
      <c r="B412" s="50"/>
      <c r="C412" s="43"/>
      <c r="D412" s="43"/>
      <c r="E412" s="44"/>
      <c r="F412" s="44"/>
      <c r="G412" s="44"/>
      <c r="H412" s="45"/>
      <c r="I412" s="54"/>
      <c r="J412" s="47" t="str">
        <f>IF(OR(K412="ERREUR",L412="ERREUR",M412="ERREUR",N412="ERREUR",O412="ERREUR",P412="ERREUR",Q412="ERREUR"),"ERREUR",IF(AND(K412="",L412="",M412="",N412="",O412="",P412="",Q412=""),"ligne vide",IF(OR(K412="",L412="",M412="",N412="",O412="",P412="",Q412=""),"ligne incomplète","Valide")))</f>
        <v xml:space="preserve">ligne vide</v>
      </c>
      <c r="K412" s="48" t="str">
        <f>IF(ISBLANK(B412),IF(ISBLANK(B413),T(B412),"ERREUR"),IF(ISNUMBER(B412),_xlfn.NUMBERVALUE(B412),IF(ISTEXT(B412),VALUE(B412),"ERREUR")))</f>
        <v/>
      </c>
      <c r="L412" s="38" t="str">
        <f>IF(COUNTIF($R$4:$R$6,C412)&gt;0,C412,IF(ISBLANK(C412),IF(ISBLANK(D412),T(C412),"ERREUR"),"ERREUR"))</f>
        <v/>
      </c>
      <c r="M412" s="49" t="str">
        <f>IF(ISBLANK(D412),IF(ISBLANK(D413),T(D412),"ERREUR"),IF(COUNTIF($T$4:$T$240,SUBSTITUTE(SUBSTITUTE(SUBSTITUTE(SUBSTITUTE(SUBSTITUTE(SUBSTITUTE(UPPER(D412),"Å","A"),"É","E"),"È","E"),"Ê","E"),"Î","I"),"Ï","I"))&gt;0,D412,IF(ISBLANK(D412),T(D412),"ERREUR")))</f>
        <v/>
      </c>
      <c r="N412" s="38" t="str">
        <f>IF(COUNTIF($V$4:$V$6,E412)&gt;0,E412,IF(ISBLANK(E412),IF(ISBLANK(E413),T(E412),"ERREUR"),"ERREUR"))</f>
        <v/>
      </c>
      <c r="O412" s="38" t="str">
        <f>IF(COUNTIF($W$4:$W$5,F412)&gt;0,F412,IF(ISBLANK(F412),IF(ISBLANK(F413),T(F412),"ERREUR"),"ERREUR"))</f>
        <v/>
      </c>
      <c r="P412" s="38" t="str">
        <f>IF(COUNTIF($X$4:$X$8,G412)&gt;0,G412,IF(ISBLANK(G412),IF(ISBLANK(G413),T(G412),"ERREUR"),"ERREUR"))</f>
        <v/>
      </c>
      <c r="Q412" s="38" t="str">
        <f>IF(ISNUMBER(H412),IF(INT(H412)=H412,H412,"ERREUR"),IF(ISBLANK(H412),IF(ISBLANK(H413),T(H412),"ERREUR"),"ERREUR"))</f>
        <v/>
      </c>
      <c r="R412" s="38"/>
      <c r="S412" s="38"/>
      <c r="T412" s="38"/>
      <c r="U412" s="38"/>
      <c r="V412" s="38"/>
      <c r="W412" s="38"/>
      <c r="X412" s="53"/>
      <c r="Y412" s="42"/>
      <c r="Z412" s="42"/>
      <c r="AA412" s="42"/>
    </row>
    <row r="413" ht="13.75" customHeight="1">
      <c r="A413" s="14" t="s">
        <v>140</v>
      </c>
      <c r="B413" s="50"/>
      <c r="C413" s="43"/>
      <c r="D413" s="43"/>
      <c r="E413" s="44"/>
      <c r="F413" s="44"/>
      <c r="G413" s="44"/>
      <c r="H413" s="45"/>
      <c r="I413" s="54"/>
      <c r="J413" s="47" t="str">
        <f>IF(OR(K413="ERREUR",L413="ERREUR",M413="ERREUR",N413="ERREUR",O413="ERREUR",P413="ERREUR",Q413="ERREUR"),"ERREUR",IF(AND(K413="",L413="",M413="",N413="",O413="",P413="",Q413=""),"ligne vide",IF(OR(K413="",L413="",M413="",N413="",O413="",P413="",Q413=""),"ligne incomplète","Valide")))</f>
        <v xml:space="preserve">ligne vide</v>
      </c>
      <c r="K413" s="48" t="str">
        <f>IF(ISBLANK(B413),IF(ISBLANK(B414),T(B413),"ERREUR"),IF(ISNUMBER(B413),_xlfn.NUMBERVALUE(B413),IF(ISTEXT(B413),VALUE(B413),"ERREUR")))</f>
        <v/>
      </c>
      <c r="L413" s="38" t="str">
        <f>IF(COUNTIF($R$4:$R$6,C413)&gt;0,C413,IF(ISBLANK(C413),IF(ISBLANK(D413),T(C413),"ERREUR"),"ERREUR"))</f>
        <v/>
      </c>
      <c r="M413" s="49" t="str">
        <f>IF(ISBLANK(D413),IF(ISBLANK(D414),T(D413),"ERREUR"),IF(COUNTIF($T$4:$T$240,SUBSTITUTE(SUBSTITUTE(SUBSTITUTE(SUBSTITUTE(SUBSTITUTE(SUBSTITUTE(UPPER(D413),"Å","A"),"É","E"),"È","E"),"Ê","E"),"Î","I"),"Ï","I"))&gt;0,D413,IF(ISBLANK(D413),T(D413),"ERREUR")))</f>
        <v/>
      </c>
      <c r="N413" s="38" t="str">
        <f>IF(COUNTIF($V$4:$V$6,E413)&gt;0,E413,IF(ISBLANK(E413),IF(ISBLANK(E414),T(E413),"ERREUR"),"ERREUR"))</f>
        <v/>
      </c>
      <c r="O413" s="38" t="str">
        <f>IF(COUNTIF($W$4:$W$5,F413)&gt;0,F413,IF(ISBLANK(F413),IF(ISBLANK(F414),T(F413),"ERREUR"),"ERREUR"))</f>
        <v/>
      </c>
      <c r="P413" s="38" t="str">
        <f>IF(COUNTIF($X$4:$X$8,G413)&gt;0,G413,IF(ISBLANK(G413),IF(ISBLANK(G414),T(G413),"ERREUR"),"ERREUR"))</f>
        <v/>
      </c>
      <c r="Q413" s="38" t="str">
        <f>IF(ISNUMBER(H413),IF(INT(H413)=H413,H413,"ERREUR"),IF(ISBLANK(H413),IF(ISBLANK(H414),T(H413),"ERREUR"),"ERREUR"))</f>
        <v/>
      </c>
      <c r="R413" s="38"/>
      <c r="S413" s="38"/>
      <c r="T413" s="38"/>
      <c r="U413" s="38"/>
      <c r="V413" s="38"/>
      <c r="W413" s="38"/>
      <c r="X413" s="53"/>
      <c r="Y413" s="42"/>
      <c r="Z413" s="42"/>
      <c r="AA413" s="42"/>
    </row>
    <row r="414" ht="13.75" customHeight="1">
      <c r="A414" s="14" t="s">
        <v>140</v>
      </c>
      <c r="B414" s="50"/>
      <c r="C414" s="43"/>
      <c r="D414" s="43"/>
      <c r="E414" s="44"/>
      <c r="F414" s="44"/>
      <c r="G414" s="44"/>
      <c r="H414" s="45"/>
      <c r="I414" s="54"/>
      <c r="J414" s="47" t="str">
        <f>IF(OR(K414="ERREUR",L414="ERREUR",M414="ERREUR",N414="ERREUR",O414="ERREUR",P414="ERREUR",Q414="ERREUR"),"ERREUR",IF(AND(K414="",L414="",M414="",N414="",O414="",P414="",Q414=""),"ligne vide",IF(OR(K414="",L414="",M414="",N414="",O414="",P414="",Q414=""),"ligne incomplète","Valide")))</f>
        <v xml:space="preserve">ligne vide</v>
      </c>
      <c r="K414" s="48" t="str">
        <f>IF(ISBLANK(B414),IF(ISBLANK(B415),T(B414),"ERREUR"),IF(ISNUMBER(B414),_xlfn.NUMBERVALUE(B414),IF(ISTEXT(B414),VALUE(B414),"ERREUR")))</f>
        <v/>
      </c>
      <c r="L414" s="38" t="str">
        <f>IF(COUNTIF($R$4:$R$6,C414)&gt;0,C414,IF(ISBLANK(C414),IF(ISBLANK(D414),T(C414),"ERREUR"),"ERREUR"))</f>
        <v/>
      </c>
      <c r="M414" s="49" t="str">
        <f>IF(ISBLANK(D414),IF(ISBLANK(D415),T(D414),"ERREUR"),IF(COUNTIF($T$4:$T$240,SUBSTITUTE(SUBSTITUTE(SUBSTITUTE(SUBSTITUTE(SUBSTITUTE(SUBSTITUTE(UPPER(D414),"Å","A"),"É","E"),"È","E"),"Ê","E"),"Î","I"),"Ï","I"))&gt;0,D414,IF(ISBLANK(D414),T(D414),"ERREUR")))</f>
        <v/>
      </c>
      <c r="N414" s="38" t="str">
        <f>IF(COUNTIF($V$4:$V$6,E414)&gt;0,E414,IF(ISBLANK(E414),IF(ISBLANK(E415),T(E414),"ERREUR"),"ERREUR"))</f>
        <v/>
      </c>
      <c r="O414" s="38" t="str">
        <f>IF(COUNTIF($W$4:$W$5,F414)&gt;0,F414,IF(ISBLANK(F414),IF(ISBLANK(F415),T(F414),"ERREUR"),"ERREUR"))</f>
        <v/>
      </c>
      <c r="P414" s="38" t="str">
        <f>IF(COUNTIF($X$4:$X$8,G414)&gt;0,G414,IF(ISBLANK(G414),IF(ISBLANK(G415),T(G414),"ERREUR"),"ERREUR"))</f>
        <v/>
      </c>
      <c r="Q414" s="38" t="str">
        <f>IF(ISNUMBER(H414),IF(INT(H414)=H414,H414,"ERREUR"),IF(ISBLANK(H414),IF(ISBLANK(H415),T(H414),"ERREUR"),"ERREUR"))</f>
        <v/>
      </c>
      <c r="R414" s="38"/>
      <c r="S414" s="38"/>
      <c r="T414" s="38"/>
      <c r="U414" s="38"/>
      <c r="V414" s="38"/>
      <c r="W414" s="38"/>
      <c r="X414" s="53"/>
      <c r="Y414" s="42"/>
      <c r="Z414" s="42"/>
      <c r="AA414" s="42"/>
    </row>
    <row r="415" ht="13.75" customHeight="1">
      <c r="A415" s="14" t="s">
        <v>140</v>
      </c>
      <c r="B415" s="50"/>
      <c r="C415" s="43"/>
      <c r="D415" s="43"/>
      <c r="E415" s="44"/>
      <c r="F415" s="44"/>
      <c r="G415" s="44"/>
      <c r="H415" s="45"/>
      <c r="I415" s="54"/>
      <c r="J415" s="47" t="str">
        <f>IF(OR(K415="ERREUR",L415="ERREUR",M415="ERREUR",N415="ERREUR",O415="ERREUR",P415="ERREUR",Q415="ERREUR"),"ERREUR",IF(AND(K415="",L415="",M415="",N415="",O415="",P415="",Q415=""),"ligne vide",IF(OR(K415="",L415="",M415="",N415="",O415="",P415="",Q415=""),"ligne incomplète","Valide")))</f>
        <v xml:space="preserve">ligne vide</v>
      </c>
      <c r="K415" s="48" t="str">
        <f>IF(ISBLANK(B415),IF(ISBLANK(B416),T(B415),"ERREUR"),IF(ISNUMBER(B415),_xlfn.NUMBERVALUE(B415),IF(ISTEXT(B415),VALUE(B415),"ERREUR")))</f>
        <v/>
      </c>
      <c r="L415" s="38" t="str">
        <f>IF(COUNTIF($R$4:$R$6,C415)&gt;0,C415,IF(ISBLANK(C415),IF(ISBLANK(D415),T(C415),"ERREUR"),"ERREUR"))</f>
        <v/>
      </c>
      <c r="M415" s="49" t="str">
        <f>IF(ISBLANK(D415),IF(ISBLANK(D416),T(D415),"ERREUR"),IF(COUNTIF($T$4:$T$240,SUBSTITUTE(SUBSTITUTE(SUBSTITUTE(SUBSTITUTE(SUBSTITUTE(SUBSTITUTE(UPPER(D415),"Å","A"),"É","E"),"È","E"),"Ê","E"),"Î","I"),"Ï","I"))&gt;0,D415,IF(ISBLANK(D415),T(D415),"ERREUR")))</f>
        <v/>
      </c>
      <c r="N415" s="38" t="str">
        <f>IF(COUNTIF($V$4:$V$6,E415)&gt;0,E415,IF(ISBLANK(E415),IF(ISBLANK(E416),T(E415),"ERREUR"),"ERREUR"))</f>
        <v/>
      </c>
      <c r="O415" s="38" t="str">
        <f>IF(COUNTIF($W$4:$W$5,F415)&gt;0,F415,IF(ISBLANK(F415),IF(ISBLANK(F416),T(F415),"ERREUR"),"ERREUR"))</f>
        <v/>
      </c>
      <c r="P415" s="38" t="str">
        <f>IF(COUNTIF($X$4:$X$8,G415)&gt;0,G415,IF(ISBLANK(G415),IF(ISBLANK(G416),T(G415),"ERREUR"),"ERREUR"))</f>
        <v/>
      </c>
      <c r="Q415" s="38" t="str">
        <f>IF(ISNUMBER(H415),IF(INT(H415)=H415,H415,"ERREUR"),IF(ISBLANK(H415),IF(ISBLANK(H416),T(H415),"ERREUR"),"ERREUR"))</f>
        <v/>
      </c>
      <c r="R415" s="38"/>
      <c r="S415" s="38"/>
      <c r="T415" s="38"/>
      <c r="U415" s="38"/>
      <c r="V415" s="38"/>
      <c r="W415" s="38"/>
      <c r="X415" s="53"/>
      <c r="Y415" s="42"/>
      <c r="Z415" s="42"/>
      <c r="AA415" s="42"/>
    </row>
    <row r="416" ht="13.75" customHeight="1">
      <c r="A416" s="14" t="s">
        <v>140</v>
      </c>
      <c r="B416" s="50"/>
      <c r="C416" s="43"/>
      <c r="D416" s="43"/>
      <c r="E416" s="44"/>
      <c r="F416" s="44"/>
      <c r="G416" s="44"/>
      <c r="H416" s="45"/>
      <c r="I416" s="54"/>
      <c r="J416" s="47" t="str">
        <f>IF(OR(K416="ERREUR",L416="ERREUR",M416="ERREUR",N416="ERREUR",O416="ERREUR",P416="ERREUR",Q416="ERREUR"),"ERREUR",IF(AND(K416="",L416="",M416="",N416="",O416="",P416="",Q416=""),"ligne vide",IF(OR(K416="",L416="",M416="",N416="",O416="",P416="",Q416=""),"ligne incomplète","Valide")))</f>
        <v xml:space="preserve">ligne vide</v>
      </c>
      <c r="K416" s="48" t="str">
        <f>IF(ISBLANK(B416),IF(ISBLANK(B417),T(B416),"ERREUR"),IF(ISNUMBER(B416),_xlfn.NUMBERVALUE(B416),IF(ISTEXT(B416),VALUE(B416),"ERREUR")))</f>
        <v/>
      </c>
      <c r="L416" s="38" t="str">
        <f>IF(COUNTIF($R$4:$R$6,C416)&gt;0,C416,IF(ISBLANK(C416),IF(ISBLANK(D416),T(C416),"ERREUR"),"ERREUR"))</f>
        <v/>
      </c>
      <c r="M416" s="49" t="str">
        <f>IF(ISBLANK(D416),IF(ISBLANK(D417),T(D416),"ERREUR"),IF(COUNTIF($T$4:$T$240,SUBSTITUTE(SUBSTITUTE(SUBSTITUTE(SUBSTITUTE(SUBSTITUTE(SUBSTITUTE(UPPER(D416),"Å","A"),"É","E"),"È","E"),"Ê","E"),"Î","I"),"Ï","I"))&gt;0,D416,IF(ISBLANK(D416),T(D416),"ERREUR")))</f>
        <v/>
      </c>
      <c r="N416" s="38" t="str">
        <f>IF(COUNTIF($V$4:$V$6,E416)&gt;0,E416,IF(ISBLANK(E416),IF(ISBLANK(E417),T(E416),"ERREUR"),"ERREUR"))</f>
        <v/>
      </c>
      <c r="O416" s="38" t="str">
        <f>IF(COUNTIF($W$4:$W$5,F416)&gt;0,F416,IF(ISBLANK(F416),IF(ISBLANK(F417),T(F416),"ERREUR"),"ERREUR"))</f>
        <v/>
      </c>
      <c r="P416" s="38" t="str">
        <f>IF(COUNTIF($X$4:$X$8,G416)&gt;0,G416,IF(ISBLANK(G416),IF(ISBLANK(G417),T(G416),"ERREUR"),"ERREUR"))</f>
        <v/>
      </c>
      <c r="Q416" s="38" t="str">
        <f>IF(ISNUMBER(H416),IF(INT(H416)=H416,H416,"ERREUR"),IF(ISBLANK(H416),IF(ISBLANK(H417),T(H416),"ERREUR"),"ERREUR"))</f>
        <v/>
      </c>
      <c r="R416" s="38"/>
      <c r="S416" s="38"/>
      <c r="T416" s="38"/>
      <c r="U416" s="38"/>
      <c r="V416" s="38"/>
      <c r="W416" s="38"/>
      <c r="X416" s="53"/>
      <c r="Y416" s="42"/>
      <c r="Z416" s="42"/>
      <c r="AA416" s="42"/>
    </row>
    <row r="417" ht="13.75" customHeight="1">
      <c r="A417" s="14" t="s">
        <v>140</v>
      </c>
      <c r="B417" s="50"/>
      <c r="C417" s="43"/>
      <c r="D417" s="43"/>
      <c r="E417" s="44"/>
      <c r="F417" s="44"/>
      <c r="G417" s="44"/>
      <c r="H417" s="45"/>
      <c r="I417" s="54"/>
      <c r="J417" s="47" t="str">
        <f>IF(OR(K417="ERREUR",L417="ERREUR",M417="ERREUR",N417="ERREUR",O417="ERREUR",P417="ERREUR",Q417="ERREUR"),"ERREUR",IF(AND(K417="",L417="",M417="",N417="",O417="",P417="",Q417=""),"ligne vide",IF(OR(K417="",L417="",M417="",N417="",O417="",P417="",Q417=""),"ligne incomplète","Valide")))</f>
        <v xml:space="preserve">ligne vide</v>
      </c>
      <c r="K417" s="48" t="str">
        <f>IF(ISBLANK(B417),IF(ISBLANK(B418),T(B417),"ERREUR"),IF(ISNUMBER(B417),_xlfn.NUMBERVALUE(B417),IF(ISTEXT(B417),VALUE(B417),"ERREUR")))</f>
        <v/>
      </c>
      <c r="L417" s="38" t="str">
        <f>IF(COUNTIF($R$4:$R$6,C417)&gt;0,C417,IF(ISBLANK(C417),IF(ISBLANK(D417),T(C417),"ERREUR"),"ERREUR"))</f>
        <v/>
      </c>
      <c r="M417" s="49" t="str">
        <f>IF(ISBLANK(D417),IF(ISBLANK(D418),T(D417),"ERREUR"),IF(COUNTIF($T$4:$T$240,SUBSTITUTE(SUBSTITUTE(SUBSTITUTE(SUBSTITUTE(SUBSTITUTE(SUBSTITUTE(UPPER(D417),"Å","A"),"É","E"),"È","E"),"Ê","E"),"Î","I"),"Ï","I"))&gt;0,D417,IF(ISBLANK(D417),T(D417),"ERREUR")))</f>
        <v/>
      </c>
      <c r="N417" s="38" t="str">
        <f>IF(COUNTIF($V$4:$V$6,E417)&gt;0,E417,IF(ISBLANK(E417),IF(ISBLANK(E418),T(E417),"ERREUR"),"ERREUR"))</f>
        <v/>
      </c>
      <c r="O417" s="38" t="str">
        <f>IF(COUNTIF($W$4:$W$5,F417)&gt;0,F417,IF(ISBLANK(F417),IF(ISBLANK(F418),T(F417),"ERREUR"),"ERREUR"))</f>
        <v/>
      </c>
      <c r="P417" s="38" t="str">
        <f>IF(COUNTIF($X$4:$X$8,G417)&gt;0,G417,IF(ISBLANK(G417),IF(ISBLANK(G418),T(G417),"ERREUR"),"ERREUR"))</f>
        <v/>
      </c>
      <c r="Q417" s="38" t="str">
        <f>IF(ISNUMBER(H417),IF(INT(H417)=H417,H417,"ERREUR"),IF(ISBLANK(H417),IF(ISBLANK(H418),T(H417),"ERREUR"),"ERREUR"))</f>
        <v/>
      </c>
      <c r="R417" s="38"/>
      <c r="S417" s="38"/>
      <c r="T417" s="38"/>
      <c r="U417" s="38"/>
      <c r="V417" s="38"/>
      <c r="W417" s="38"/>
      <c r="X417" s="53"/>
      <c r="Y417" s="42"/>
      <c r="Z417" s="42"/>
      <c r="AA417" s="42"/>
    </row>
    <row r="418" ht="13.75" customHeight="1">
      <c r="A418" s="14" t="s">
        <v>140</v>
      </c>
      <c r="B418" s="50"/>
      <c r="C418" s="43"/>
      <c r="D418" s="43"/>
      <c r="E418" s="44"/>
      <c r="F418" s="44"/>
      <c r="G418" s="44"/>
      <c r="H418" s="45"/>
      <c r="I418" s="54"/>
      <c r="J418" s="47" t="str">
        <f>IF(OR(K418="ERREUR",L418="ERREUR",M418="ERREUR",N418="ERREUR",O418="ERREUR",P418="ERREUR",Q418="ERREUR"),"ERREUR",IF(AND(K418="",L418="",M418="",N418="",O418="",P418="",Q418=""),"ligne vide",IF(OR(K418="",L418="",M418="",N418="",O418="",P418="",Q418=""),"ligne incomplète","Valide")))</f>
        <v xml:space="preserve">ligne vide</v>
      </c>
      <c r="K418" s="48" t="str">
        <f>IF(ISBLANK(B418),IF(ISBLANK(B419),T(B418),"ERREUR"),IF(ISNUMBER(B418),_xlfn.NUMBERVALUE(B418),IF(ISTEXT(B418),VALUE(B418),"ERREUR")))</f>
        <v/>
      </c>
      <c r="L418" s="38" t="str">
        <f>IF(COUNTIF($R$4:$R$6,C418)&gt;0,C418,IF(ISBLANK(C418),IF(ISBLANK(D418),T(C418),"ERREUR"),"ERREUR"))</f>
        <v/>
      </c>
      <c r="M418" s="49" t="str">
        <f>IF(ISBLANK(D418),IF(ISBLANK(D419),T(D418),"ERREUR"),IF(COUNTIF($T$4:$T$240,SUBSTITUTE(SUBSTITUTE(SUBSTITUTE(SUBSTITUTE(SUBSTITUTE(SUBSTITUTE(UPPER(D418),"Å","A"),"É","E"),"È","E"),"Ê","E"),"Î","I"),"Ï","I"))&gt;0,D418,IF(ISBLANK(D418),T(D418),"ERREUR")))</f>
        <v/>
      </c>
      <c r="N418" s="38" t="str">
        <f>IF(COUNTIF($V$4:$V$6,E418)&gt;0,E418,IF(ISBLANK(E418),IF(ISBLANK(E419),T(E418),"ERREUR"),"ERREUR"))</f>
        <v/>
      </c>
      <c r="O418" s="38" t="str">
        <f>IF(COUNTIF($W$4:$W$5,F418)&gt;0,F418,IF(ISBLANK(F418),IF(ISBLANK(F419),T(F418),"ERREUR"),"ERREUR"))</f>
        <v/>
      </c>
      <c r="P418" s="38" t="str">
        <f>IF(COUNTIF($X$4:$X$8,G418)&gt;0,G418,IF(ISBLANK(G418),IF(ISBLANK(G419),T(G418),"ERREUR"),"ERREUR"))</f>
        <v/>
      </c>
      <c r="Q418" s="38" t="str">
        <f>IF(ISNUMBER(H418),IF(INT(H418)=H418,H418,"ERREUR"),IF(ISBLANK(H418),IF(ISBLANK(H419),T(H418),"ERREUR"),"ERREUR"))</f>
        <v/>
      </c>
      <c r="R418" s="38"/>
      <c r="S418" s="38"/>
      <c r="T418" s="38"/>
      <c r="U418" s="38"/>
      <c r="V418" s="38"/>
      <c r="W418" s="38"/>
      <c r="X418" s="53"/>
      <c r="Y418" s="42"/>
      <c r="Z418" s="42"/>
      <c r="AA418" s="42"/>
    </row>
    <row r="419" ht="13.75" customHeight="1">
      <c r="A419" s="14" t="s">
        <v>140</v>
      </c>
      <c r="B419" s="50"/>
      <c r="C419" s="43"/>
      <c r="D419" s="43"/>
      <c r="E419" s="44"/>
      <c r="F419" s="44"/>
      <c r="G419" s="44"/>
      <c r="H419" s="45"/>
      <c r="I419" s="54"/>
      <c r="J419" s="47" t="str">
        <f>IF(OR(K419="ERREUR",L419="ERREUR",M419="ERREUR",N419="ERREUR",O419="ERREUR",P419="ERREUR",Q419="ERREUR"),"ERREUR",IF(AND(K419="",L419="",M419="",N419="",O419="",P419="",Q419=""),"ligne vide",IF(OR(K419="",L419="",M419="",N419="",O419="",P419="",Q419=""),"ligne incomplète","Valide")))</f>
        <v xml:space="preserve">ligne vide</v>
      </c>
      <c r="K419" s="48" t="str">
        <f>IF(ISBLANK(B419),IF(ISBLANK(B420),T(B419),"ERREUR"),IF(ISNUMBER(B419),_xlfn.NUMBERVALUE(B419),IF(ISTEXT(B419),VALUE(B419),"ERREUR")))</f>
        <v/>
      </c>
      <c r="L419" s="38" t="str">
        <f>IF(COUNTIF($R$4:$R$6,C419)&gt;0,C419,IF(ISBLANK(C419),IF(ISBLANK(D419),T(C419),"ERREUR"),"ERREUR"))</f>
        <v/>
      </c>
      <c r="M419" s="49" t="str">
        <f>IF(ISBLANK(D419),IF(ISBLANK(D420),T(D419),"ERREUR"),IF(COUNTIF($T$4:$T$240,SUBSTITUTE(SUBSTITUTE(SUBSTITUTE(SUBSTITUTE(SUBSTITUTE(SUBSTITUTE(UPPER(D419),"Å","A"),"É","E"),"È","E"),"Ê","E"),"Î","I"),"Ï","I"))&gt;0,D419,IF(ISBLANK(D419),T(D419),"ERREUR")))</f>
        <v/>
      </c>
      <c r="N419" s="38" t="str">
        <f>IF(COUNTIF($V$4:$V$6,E419)&gt;0,E419,IF(ISBLANK(E419),IF(ISBLANK(E420),T(E419),"ERREUR"),"ERREUR"))</f>
        <v/>
      </c>
      <c r="O419" s="38" t="str">
        <f>IF(COUNTIF($W$4:$W$5,F419)&gt;0,F419,IF(ISBLANK(F419),IF(ISBLANK(F420),T(F419),"ERREUR"),"ERREUR"))</f>
        <v/>
      </c>
      <c r="P419" s="38" t="str">
        <f>IF(COUNTIF($X$4:$X$8,G419)&gt;0,G419,IF(ISBLANK(G419),IF(ISBLANK(G420),T(G419),"ERREUR"),"ERREUR"))</f>
        <v/>
      </c>
      <c r="Q419" s="38" t="str">
        <f>IF(ISNUMBER(H419),IF(INT(H419)=H419,H419,"ERREUR"),IF(ISBLANK(H419),IF(ISBLANK(H420),T(H419),"ERREUR"),"ERREUR"))</f>
        <v/>
      </c>
      <c r="R419" s="38"/>
      <c r="S419" s="38"/>
      <c r="T419" s="38"/>
      <c r="U419" s="38"/>
      <c r="V419" s="38"/>
      <c r="W419" s="38"/>
      <c r="X419" s="53"/>
      <c r="Y419" s="42"/>
      <c r="Z419" s="42"/>
      <c r="AA419" s="42"/>
    </row>
    <row r="420" ht="13.75" customHeight="1">
      <c r="A420" s="14" t="s">
        <v>140</v>
      </c>
      <c r="B420" s="50"/>
      <c r="C420" s="43"/>
      <c r="D420" s="43"/>
      <c r="E420" s="44"/>
      <c r="F420" s="44"/>
      <c r="G420" s="44"/>
      <c r="H420" s="45"/>
      <c r="I420" s="54"/>
      <c r="J420" s="47" t="str">
        <f>IF(OR(K420="ERREUR",L420="ERREUR",M420="ERREUR",N420="ERREUR",O420="ERREUR",P420="ERREUR",Q420="ERREUR"),"ERREUR",IF(AND(K420="",L420="",M420="",N420="",O420="",P420="",Q420=""),"ligne vide",IF(OR(K420="",L420="",M420="",N420="",O420="",P420="",Q420=""),"ligne incomplète","Valide")))</f>
        <v xml:space="preserve">ligne vide</v>
      </c>
      <c r="K420" s="48" t="str">
        <f>IF(ISBLANK(B420),IF(ISBLANK(B421),T(B420),"ERREUR"),IF(ISNUMBER(B420),_xlfn.NUMBERVALUE(B420),IF(ISTEXT(B420),VALUE(B420),"ERREUR")))</f>
        <v/>
      </c>
      <c r="L420" s="38" t="str">
        <f>IF(COUNTIF($R$4:$R$6,C420)&gt;0,C420,IF(ISBLANK(C420),IF(ISBLANK(D420),T(C420),"ERREUR"),"ERREUR"))</f>
        <v/>
      </c>
      <c r="M420" s="49" t="str">
        <f>IF(ISBLANK(D420),IF(ISBLANK(D421),T(D420),"ERREUR"),IF(COUNTIF($T$4:$T$240,SUBSTITUTE(SUBSTITUTE(SUBSTITUTE(SUBSTITUTE(SUBSTITUTE(SUBSTITUTE(UPPER(D420),"Å","A"),"É","E"),"È","E"),"Ê","E"),"Î","I"),"Ï","I"))&gt;0,D420,IF(ISBLANK(D420),T(D420),"ERREUR")))</f>
        <v/>
      </c>
      <c r="N420" s="38" t="str">
        <f>IF(COUNTIF($V$4:$V$6,E420)&gt;0,E420,IF(ISBLANK(E420),IF(ISBLANK(E421),T(E420),"ERREUR"),"ERREUR"))</f>
        <v/>
      </c>
      <c r="O420" s="38" t="str">
        <f>IF(COUNTIF($W$4:$W$5,F420)&gt;0,F420,IF(ISBLANK(F420),IF(ISBLANK(F421),T(F420),"ERREUR"),"ERREUR"))</f>
        <v/>
      </c>
      <c r="P420" s="38" t="str">
        <f>IF(COUNTIF($X$4:$X$8,G420)&gt;0,G420,IF(ISBLANK(G420),IF(ISBLANK(G421),T(G420),"ERREUR"),"ERREUR"))</f>
        <v/>
      </c>
      <c r="Q420" s="38" t="str">
        <f>IF(ISNUMBER(H420),IF(INT(H420)=H420,H420,"ERREUR"),IF(ISBLANK(H420),IF(ISBLANK(H421),T(H420),"ERREUR"),"ERREUR"))</f>
        <v/>
      </c>
      <c r="R420" s="38"/>
      <c r="S420" s="38"/>
      <c r="T420" s="38"/>
      <c r="U420" s="38"/>
      <c r="V420" s="38"/>
      <c r="W420" s="38"/>
      <c r="X420" s="53"/>
      <c r="Y420" s="42"/>
      <c r="Z420" s="42"/>
      <c r="AA420" s="42"/>
    </row>
    <row r="421" ht="13.75" customHeight="1">
      <c r="A421" s="14" t="s">
        <v>140</v>
      </c>
      <c r="B421" s="50"/>
      <c r="C421" s="43"/>
      <c r="D421" s="43"/>
      <c r="E421" s="44"/>
      <c r="F421" s="44"/>
      <c r="G421" s="44"/>
      <c r="H421" s="45"/>
      <c r="I421" s="54"/>
      <c r="J421" s="47" t="str">
        <f>IF(OR(K421="ERREUR",L421="ERREUR",M421="ERREUR",N421="ERREUR",O421="ERREUR",P421="ERREUR",Q421="ERREUR"),"ERREUR",IF(AND(K421="",L421="",M421="",N421="",O421="",P421="",Q421=""),"ligne vide",IF(OR(K421="",L421="",M421="",N421="",O421="",P421="",Q421=""),"ligne incomplète","Valide")))</f>
        <v xml:space="preserve">ligne vide</v>
      </c>
      <c r="K421" s="48" t="str">
        <f>IF(ISBLANK(B421),IF(ISBLANK(B422),T(B421),"ERREUR"),IF(ISNUMBER(B421),_xlfn.NUMBERVALUE(B421),IF(ISTEXT(B421),VALUE(B421),"ERREUR")))</f>
        <v/>
      </c>
      <c r="L421" s="38" t="str">
        <f>IF(COUNTIF($R$4:$R$6,C421)&gt;0,C421,IF(ISBLANK(C421),IF(ISBLANK(D421),T(C421),"ERREUR"),"ERREUR"))</f>
        <v/>
      </c>
      <c r="M421" s="49" t="str">
        <f>IF(ISBLANK(D421),IF(ISBLANK(D422),T(D421),"ERREUR"),IF(COUNTIF($T$4:$T$240,SUBSTITUTE(SUBSTITUTE(SUBSTITUTE(SUBSTITUTE(SUBSTITUTE(SUBSTITUTE(UPPER(D421),"Å","A"),"É","E"),"È","E"),"Ê","E"),"Î","I"),"Ï","I"))&gt;0,D421,IF(ISBLANK(D421),T(D421),"ERREUR")))</f>
        <v/>
      </c>
      <c r="N421" s="38" t="str">
        <f>IF(COUNTIF($V$4:$V$6,E421)&gt;0,E421,IF(ISBLANK(E421),IF(ISBLANK(E422),T(E421),"ERREUR"),"ERREUR"))</f>
        <v/>
      </c>
      <c r="O421" s="38" t="str">
        <f>IF(COUNTIF($W$4:$W$5,F421)&gt;0,F421,IF(ISBLANK(F421),IF(ISBLANK(F422),T(F421),"ERREUR"),"ERREUR"))</f>
        <v/>
      </c>
      <c r="P421" s="38" t="str">
        <f>IF(COUNTIF($X$4:$X$8,G421)&gt;0,G421,IF(ISBLANK(G421),IF(ISBLANK(G422),T(G421),"ERREUR"),"ERREUR"))</f>
        <v/>
      </c>
      <c r="Q421" s="38" t="str">
        <f>IF(ISNUMBER(H421),IF(INT(H421)=H421,H421,"ERREUR"),IF(ISBLANK(H421),IF(ISBLANK(H422),T(H421),"ERREUR"),"ERREUR"))</f>
        <v/>
      </c>
      <c r="R421" s="38"/>
      <c r="S421" s="38"/>
      <c r="T421" s="38"/>
      <c r="U421" s="38"/>
      <c r="V421" s="38"/>
      <c r="W421" s="38"/>
      <c r="X421" s="53"/>
      <c r="Y421" s="42"/>
      <c r="Z421" s="42"/>
      <c r="AA421" s="42"/>
    </row>
    <row r="422" ht="13.75" customHeight="1">
      <c r="A422" s="14" t="s">
        <v>140</v>
      </c>
      <c r="B422" s="50"/>
      <c r="C422" s="43"/>
      <c r="D422" s="43"/>
      <c r="E422" s="44"/>
      <c r="F422" s="44"/>
      <c r="G422" s="44"/>
      <c r="H422" s="45"/>
      <c r="I422" s="54"/>
      <c r="J422" s="47" t="str">
        <f>IF(OR(K422="ERREUR",L422="ERREUR",M422="ERREUR",N422="ERREUR",O422="ERREUR",P422="ERREUR",Q422="ERREUR"),"ERREUR",IF(AND(K422="",L422="",M422="",N422="",O422="",P422="",Q422=""),"ligne vide",IF(OR(K422="",L422="",M422="",N422="",O422="",P422="",Q422=""),"ligne incomplète","Valide")))</f>
        <v xml:space="preserve">ligne vide</v>
      </c>
      <c r="K422" s="48" t="str">
        <f>IF(ISBLANK(B422),IF(ISBLANK(B423),T(B422),"ERREUR"),IF(ISNUMBER(B422),_xlfn.NUMBERVALUE(B422),IF(ISTEXT(B422),VALUE(B422),"ERREUR")))</f>
        <v/>
      </c>
      <c r="L422" s="38" t="str">
        <f>IF(COUNTIF($R$4:$R$6,C422)&gt;0,C422,IF(ISBLANK(C422),IF(ISBLANK(D422),T(C422),"ERREUR"),"ERREUR"))</f>
        <v/>
      </c>
      <c r="M422" s="49" t="str">
        <f>IF(ISBLANK(D422),IF(ISBLANK(D423),T(D422),"ERREUR"),IF(COUNTIF($T$4:$T$240,SUBSTITUTE(SUBSTITUTE(SUBSTITUTE(SUBSTITUTE(SUBSTITUTE(SUBSTITUTE(UPPER(D422),"Å","A"),"É","E"),"È","E"),"Ê","E"),"Î","I"),"Ï","I"))&gt;0,D422,IF(ISBLANK(D422),T(D422),"ERREUR")))</f>
        <v/>
      </c>
      <c r="N422" s="38" t="str">
        <f>IF(COUNTIF($V$4:$V$6,E422)&gt;0,E422,IF(ISBLANK(E422),IF(ISBLANK(E423),T(E422),"ERREUR"),"ERREUR"))</f>
        <v/>
      </c>
      <c r="O422" s="38" t="str">
        <f>IF(COUNTIF($W$4:$W$5,F422)&gt;0,F422,IF(ISBLANK(F422),IF(ISBLANK(F423),T(F422),"ERREUR"),"ERREUR"))</f>
        <v/>
      </c>
      <c r="P422" s="38" t="str">
        <f>IF(COUNTIF($X$4:$X$8,G422)&gt;0,G422,IF(ISBLANK(G422),IF(ISBLANK(G423),T(G422),"ERREUR"),"ERREUR"))</f>
        <v/>
      </c>
      <c r="Q422" s="38" t="str">
        <f>IF(ISNUMBER(H422),IF(INT(H422)=H422,H422,"ERREUR"),IF(ISBLANK(H422),IF(ISBLANK(H423),T(H422),"ERREUR"),"ERREUR"))</f>
        <v/>
      </c>
      <c r="R422" s="38"/>
      <c r="S422" s="38"/>
      <c r="T422" s="38"/>
      <c r="U422" s="38"/>
      <c r="V422" s="38"/>
      <c r="W422" s="38"/>
      <c r="X422" s="53"/>
      <c r="Y422" s="42"/>
      <c r="Z422" s="42"/>
      <c r="AA422" s="42"/>
    </row>
    <row r="423" ht="13.75" customHeight="1">
      <c r="A423" s="14" t="s">
        <v>140</v>
      </c>
      <c r="B423" s="50"/>
      <c r="C423" s="43"/>
      <c r="D423" s="43"/>
      <c r="E423" s="44"/>
      <c r="F423" s="44"/>
      <c r="G423" s="44"/>
      <c r="H423" s="45"/>
      <c r="I423" s="54"/>
      <c r="J423" s="47" t="str">
        <f>IF(OR(K423="ERREUR",L423="ERREUR",M423="ERREUR",N423="ERREUR",O423="ERREUR",P423="ERREUR",Q423="ERREUR"),"ERREUR",IF(AND(K423="",L423="",M423="",N423="",O423="",P423="",Q423=""),"ligne vide",IF(OR(K423="",L423="",M423="",N423="",O423="",P423="",Q423=""),"ligne incomplète","Valide")))</f>
        <v xml:space="preserve">ligne vide</v>
      </c>
      <c r="K423" s="48" t="str">
        <f>IF(ISBLANK(B423),IF(ISBLANK(B424),T(B423),"ERREUR"),IF(ISNUMBER(B423),_xlfn.NUMBERVALUE(B423),IF(ISTEXT(B423),VALUE(B423),"ERREUR")))</f>
        <v/>
      </c>
      <c r="L423" s="38" t="str">
        <f>IF(COUNTIF($R$4:$R$6,C423)&gt;0,C423,IF(ISBLANK(C423),IF(ISBLANK(D423),T(C423),"ERREUR"),"ERREUR"))</f>
        <v/>
      </c>
      <c r="M423" s="49" t="str">
        <f>IF(ISBLANK(D423),IF(ISBLANK(D424),T(D423),"ERREUR"),IF(COUNTIF($T$4:$T$240,SUBSTITUTE(SUBSTITUTE(SUBSTITUTE(SUBSTITUTE(SUBSTITUTE(SUBSTITUTE(UPPER(D423),"Å","A"),"É","E"),"È","E"),"Ê","E"),"Î","I"),"Ï","I"))&gt;0,D423,IF(ISBLANK(D423),T(D423),"ERREUR")))</f>
        <v/>
      </c>
      <c r="N423" s="38" t="str">
        <f>IF(COUNTIF($V$4:$V$6,E423)&gt;0,E423,IF(ISBLANK(E423),IF(ISBLANK(E424),T(E423),"ERREUR"),"ERREUR"))</f>
        <v/>
      </c>
      <c r="O423" s="38" t="str">
        <f>IF(COUNTIF($W$4:$W$5,F423)&gt;0,F423,IF(ISBLANK(F423),IF(ISBLANK(F424),T(F423),"ERREUR"),"ERREUR"))</f>
        <v/>
      </c>
      <c r="P423" s="38" t="str">
        <f>IF(COUNTIF($X$4:$X$8,G423)&gt;0,G423,IF(ISBLANK(G423),IF(ISBLANK(G424),T(G423),"ERREUR"),"ERREUR"))</f>
        <v/>
      </c>
      <c r="Q423" s="38" t="str">
        <f>IF(ISNUMBER(H423),IF(INT(H423)=H423,H423,"ERREUR"),IF(ISBLANK(H423),IF(ISBLANK(H424),T(H423),"ERREUR"),"ERREUR"))</f>
        <v/>
      </c>
      <c r="R423" s="38"/>
      <c r="S423" s="38"/>
      <c r="T423" s="38"/>
      <c r="U423" s="38"/>
      <c r="V423" s="38"/>
      <c r="W423" s="38"/>
      <c r="X423" s="53"/>
      <c r="Y423" s="42"/>
      <c r="Z423" s="42"/>
      <c r="AA423" s="42"/>
    </row>
    <row r="424" ht="13.75" customHeight="1">
      <c r="A424" s="14" t="s">
        <v>140</v>
      </c>
      <c r="B424" s="50"/>
      <c r="C424" s="43"/>
      <c r="D424" s="43"/>
      <c r="E424" s="44"/>
      <c r="F424" s="44"/>
      <c r="G424" s="44"/>
      <c r="H424" s="45"/>
      <c r="I424" s="54"/>
      <c r="J424" s="47" t="str">
        <f>IF(OR(K424="ERREUR",L424="ERREUR",M424="ERREUR",N424="ERREUR",O424="ERREUR",P424="ERREUR",Q424="ERREUR"),"ERREUR",IF(AND(K424="",L424="",M424="",N424="",O424="",P424="",Q424=""),"ligne vide",IF(OR(K424="",L424="",M424="",N424="",O424="",P424="",Q424=""),"ligne incomplète","Valide")))</f>
        <v xml:space="preserve">ligne vide</v>
      </c>
      <c r="K424" s="48" t="str">
        <f>IF(ISBLANK(B424),IF(ISBLANK(B425),T(B424),"ERREUR"),IF(ISNUMBER(B424),_xlfn.NUMBERVALUE(B424),IF(ISTEXT(B424),VALUE(B424),"ERREUR")))</f>
        <v/>
      </c>
      <c r="L424" s="38" t="str">
        <f>IF(COUNTIF($R$4:$R$6,C424)&gt;0,C424,IF(ISBLANK(C424),IF(ISBLANK(D424),T(C424),"ERREUR"),"ERREUR"))</f>
        <v/>
      </c>
      <c r="M424" s="49" t="str">
        <f>IF(ISBLANK(D424),IF(ISBLANK(D425),T(D424),"ERREUR"),IF(COUNTIF($T$4:$T$240,SUBSTITUTE(SUBSTITUTE(SUBSTITUTE(SUBSTITUTE(SUBSTITUTE(SUBSTITUTE(UPPER(D424),"Å","A"),"É","E"),"È","E"),"Ê","E"),"Î","I"),"Ï","I"))&gt;0,D424,IF(ISBLANK(D424),T(D424),"ERREUR")))</f>
        <v/>
      </c>
      <c r="N424" s="38" t="str">
        <f>IF(COUNTIF($V$4:$V$6,E424)&gt;0,E424,IF(ISBLANK(E424),IF(ISBLANK(E425),T(E424),"ERREUR"),"ERREUR"))</f>
        <v/>
      </c>
      <c r="O424" s="38" t="str">
        <f>IF(COUNTIF($W$4:$W$5,F424)&gt;0,F424,IF(ISBLANK(F424),IF(ISBLANK(F425),T(F424),"ERREUR"),"ERREUR"))</f>
        <v/>
      </c>
      <c r="P424" s="38" t="str">
        <f>IF(COUNTIF($X$4:$X$8,G424)&gt;0,G424,IF(ISBLANK(G424),IF(ISBLANK(G425),T(G424),"ERREUR"),"ERREUR"))</f>
        <v/>
      </c>
      <c r="Q424" s="38" t="str">
        <f>IF(ISNUMBER(H424),IF(INT(H424)=H424,H424,"ERREUR"),IF(ISBLANK(H424),IF(ISBLANK(H425),T(H424),"ERREUR"),"ERREUR"))</f>
        <v/>
      </c>
      <c r="R424" s="38"/>
      <c r="S424" s="38"/>
      <c r="T424" s="38"/>
      <c r="U424" s="38"/>
      <c r="V424" s="38"/>
      <c r="W424" s="38"/>
      <c r="X424" s="53"/>
      <c r="Y424" s="42"/>
      <c r="Z424" s="42"/>
      <c r="AA424" s="42"/>
    </row>
    <row r="425" ht="13.75" customHeight="1">
      <c r="A425" s="14" t="s">
        <v>140</v>
      </c>
      <c r="B425" s="50"/>
      <c r="C425" s="43"/>
      <c r="D425" s="43"/>
      <c r="E425" s="44"/>
      <c r="F425" s="44"/>
      <c r="G425" s="44"/>
      <c r="H425" s="45"/>
      <c r="I425" s="54"/>
      <c r="J425" s="47" t="str">
        <f>IF(OR(K425="ERREUR",L425="ERREUR",M425="ERREUR",N425="ERREUR",O425="ERREUR",P425="ERREUR",Q425="ERREUR"),"ERREUR",IF(AND(K425="",L425="",M425="",N425="",O425="",P425="",Q425=""),"ligne vide",IF(OR(K425="",L425="",M425="",N425="",O425="",P425="",Q425=""),"ligne incomplète","Valide")))</f>
        <v xml:space="preserve">ligne vide</v>
      </c>
      <c r="K425" s="48" t="str">
        <f>IF(ISBLANK(B425),IF(ISBLANK(B426),T(B425),"ERREUR"),IF(ISNUMBER(B425),_xlfn.NUMBERVALUE(B425),IF(ISTEXT(B425),VALUE(B425),"ERREUR")))</f>
        <v/>
      </c>
      <c r="L425" s="38" t="str">
        <f>IF(COUNTIF($R$4:$R$6,C425)&gt;0,C425,IF(ISBLANK(C425),IF(ISBLANK(D425),T(C425),"ERREUR"),"ERREUR"))</f>
        <v/>
      </c>
      <c r="M425" s="49" t="str">
        <f>IF(ISBLANK(D425),IF(ISBLANK(D426),T(D425),"ERREUR"),IF(COUNTIF($T$4:$T$240,SUBSTITUTE(SUBSTITUTE(SUBSTITUTE(SUBSTITUTE(SUBSTITUTE(SUBSTITUTE(UPPER(D425),"Å","A"),"É","E"),"È","E"),"Ê","E"),"Î","I"),"Ï","I"))&gt;0,D425,IF(ISBLANK(D425),T(D425),"ERREUR")))</f>
        <v/>
      </c>
      <c r="N425" s="38" t="str">
        <f>IF(COUNTIF($V$4:$V$6,E425)&gt;0,E425,IF(ISBLANK(E425),IF(ISBLANK(E426),T(E425),"ERREUR"),"ERREUR"))</f>
        <v/>
      </c>
      <c r="O425" s="38" t="str">
        <f>IF(COUNTIF($W$4:$W$5,F425)&gt;0,F425,IF(ISBLANK(F425),IF(ISBLANK(F426),T(F425),"ERREUR"),"ERREUR"))</f>
        <v/>
      </c>
      <c r="P425" s="38" t="str">
        <f>IF(COUNTIF($X$4:$X$8,G425)&gt;0,G425,IF(ISBLANK(G425),IF(ISBLANK(G426),T(G425),"ERREUR"),"ERREUR"))</f>
        <v/>
      </c>
      <c r="Q425" s="38" t="str">
        <f>IF(ISNUMBER(H425),IF(INT(H425)=H425,H425,"ERREUR"),IF(ISBLANK(H425),IF(ISBLANK(H426),T(H425),"ERREUR"),"ERREUR"))</f>
        <v/>
      </c>
      <c r="R425" s="38"/>
      <c r="S425" s="38"/>
      <c r="T425" s="38"/>
      <c r="U425" s="38"/>
      <c r="V425" s="38"/>
      <c r="W425" s="38"/>
      <c r="X425" s="53"/>
      <c r="Y425" s="42"/>
      <c r="Z425" s="42"/>
      <c r="AA425" s="42"/>
    </row>
    <row r="426" ht="13.75" customHeight="1">
      <c r="A426" s="14" t="s">
        <v>140</v>
      </c>
      <c r="B426" s="50"/>
      <c r="C426" s="43"/>
      <c r="D426" s="43"/>
      <c r="E426" s="44"/>
      <c r="F426" s="44"/>
      <c r="G426" s="44"/>
      <c r="H426" s="45"/>
      <c r="I426" s="54"/>
      <c r="J426" s="47" t="str">
        <f>IF(OR(K426="ERREUR",L426="ERREUR",M426="ERREUR",N426="ERREUR",O426="ERREUR",P426="ERREUR",Q426="ERREUR"),"ERREUR",IF(AND(K426="",L426="",M426="",N426="",O426="",P426="",Q426=""),"ligne vide",IF(OR(K426="",L426="",M426="",N426="",O426="",P426="",Q426=""),"ligne incomplète","Valide")))</f>
        <v xml:space="preserve">ligne vide</v>
      </c>
      <c r="K426" s="48" t="str">
        <f>IF(ISBLANK(B426),IF(ISBLANK(B427),T(B426),"ERREUR"),IF(ISNUMBER(B426),_xlfn.NUMBERVALUE(B426),IF(ISTEXT(B426),VALUE(B426),"ERREUR")))</f>
        <v/>
      </c>
      <c r="L426" s="38" t="str">
        <f>IF(COUNTIF($R$4:$R$6,C426)&gt;0,C426,IF(ISBLANK(C426),IF(ISBLANK(D426),T(C426),"ERREUR"),"ERREUR"))</f>
        <v/>
      </c>
      <c r="M426" s="49" t="str">
        <f>IF(ISBLANK(D426),IF(ISBLANK(D427),T(D426),"ERREUR"),IF(COUNTIF($T$4:$T$240,SUBSTITUTE(SUBSTITUTE(SUBSTITUTE(SUBSTITUTE(SUBSTITUTE(SUBSTITUTE(UPPER(D426),"Å","A"),"É","E"),"È","E"),"Ê","E"),"Î","I"),"Ï","I"))&gt;0,D426,IF(ISBLANK(D426),T(D426),"ERREUR")))</f>
        <v/>
      </c>
      <c r="N426" s="38" t="str">
        <f>IF(COUNTIF($V$4:$V$6,E426)&gt;0,E426,IF(ISBLANK(E426),IF(ISBLANK(E427),T(E426),"ERREUR"),"ERREUR"))</f>
        <v/>
      </c>
      <c r="O426" s="38" t="str">
        <f>IF(COUNTIF($W$4:$W$5,F426)&gt;0,F426,IF(ISBLANK(F426),IF(ISBLANK(F427),T(F426),"ERREUR"),"ERREUR"))</f>
        <v/>
      </c>
      <c r="P426" s="38" t="str">
        <f>IF(COUNTIF($X$4:$X$8,G426)&gt;0,G426,IF(ISBLANK(G426),IF(ISBLANK(G427),T(G426),"ERREUR"),"ERREUR"))</f>
        <v/>
      </c>
      <c r="Q426" s="38" t="str">
        <f>IF(ISNUMBER(H426),IF(INT(H426)=H426,H426,"ERREUR"),IF(ISBLANK(H426),IF(ISBLANK(H427),T(H426),"ERREUR"),"ERREUR"))</f>
        <v/>
      </c>
      <c r="R426" s="38"/>
      <c r="S426" s="38"/>
      <c r="T426" s="38"/>
      <c r="U426" s="38"/>
      <c r="V426" s="38"/>
      <c r="W426" s="38"/>
      <c r="X426" s="53"/>
      <c r="Y426" s="42"/>
      <c r="Z426" s="42"/>
      <c r="AA426" s="42"/>
    </row>
    <row r="427" ht="13.75" customHeight="1">
      <c r="A427" s="14" t="s">
        <v>140</v>
      </c>
      <c r="B427" s="50"/>
      <c r="C427" s="43"/>
      <c r="D427" s="43"/>
      <c r="E427" s="44"/>
      <c r="F427" s="44"/>
      <c r="G427" s="44"/>
      <c r="H427" s="45"/>
      <c r="I427" s="54"/>
      <c r="J427" s="47" t="str">
        <f>IF(OR(K427="ERREUR",L427="ERREUR",M427="ERREUR",N427="ERREUR",O427="ERREUR",P427="ERREUR",Q427="ERREUR"),"ERREUR",IF(AND(K427="",L427="",M427="",N427="",O427="",P427="",Q427=""),"ligne vide",IF(OR(K427="",L427="",M427="",N427="",O427="",P427="",Q427=""),"ligne incomplète","Valide")))</f>
        <v xml:space="preserve">ligne vide</v>
      </c>
      <c r="K427" s="48" t="str">
        <f>IF(ISBLANK(B427),IF(ISBLANK(B428),T(B427),"ERREUR"),IF(ISNUMBER(B427),_xlfn.NUMBERVALUE(B427),IF(ISTEXT(B427),VALUE(B427),"ERREUR")))</f>
        <v/>
      </c>
      <c r="L427" s="38" t="str">
        <f>IF(COUNTIF($R$4:$R$6,C427)&gt;0,C427,IF(ISBLANK(C427),IF(ISBLANK(D427),T(C427),"ERREUR"),"ERREUR"))</f>
        <v/>
      </c>
      <c r="M427" s="49" t="str">
        <f>IF(ISBLANK(D427),IF(ISBLANK(D428),T(D427),"ERREUR"),IF(COUNTIF($T$4:$T$240,SUBSTITUTE(SUBSTITUTE(SUBSTITUTE(SUBSTITUTE(SUBSTITUTE(SUBSTITUTE(UPPER(D427),"Å","A"),"É","E"),"È","E"),"Ê","E"),"Î","I"),"Ï","I"))&gt;0,D427,IF(ISBLANK(D427),T(D427),"ERREUR")))</f>
        <v/>
      </c>
      <c r="N427" s="38" t="str">
        <f>IF(COUNTIF($V$4:$V$6,E427)&gt;0,E427,IF(ISBLANK(E427),IF(ISBLANK(E428),T(E427),"ERREUR"),"ERREUR"))</f>
        <v/>
      </c>
      <c r="O427" s="38" t="str">
        <f>IF(COUNTIF($W$4:$W$5,F427)&gt;0,F427,IF(ISBLANK(F427),IF(ISBLANK(F428),T(F427),"ERREUR"),"ERREUR"))</f>
        <v/>
      </c>
      <c r="P427" s="38" t="str">
        <f>IF(COUNTIF($X$4:$X$8,G427)&gt;0,G427,IF(ISBLANK(G427),IF(ISBLANK(G428),T(G427),"ERREUR"),"ERREUR"))</f>
        <v/>
      </c>
      <c r="Q427" s="38" t="str">
        <f>IF(ISNUMBER(H427),IF(INT(H427)=H427,H427,"ERREUR"),IF(ISBLANK(H427),IF(ISBLANK(H428),T(H427),"ERREUR"),"ERREUR"))</f>
        <v/>
      </c>
      <c r="R427" s="38"/>
      <c r="S427" s="38"/>
      <c r="T427" s="38"/>
      <c r="U427" s="38"/>
      <c r="V427" s="38"/>
      <c r="W427" s="38"/>
      <c r="X427" s="53"/>
      <c r="Y427" s="42"/>
      <c r="Z427" s="42"/>
      <c r="AA427" s="42"/>
    </row>
    <row r="428" ht="13.75" customHeight="1">
      <c r="A428" s="14" t="s">
        <v>140</v>
      </c>
      <c r="B428" s="50"/>
      <c r="C428" s="43"/>
      <c r="D428" s="43"/>
      <c r="E428" s="44"/>
      <c r="F428" s="44"/>
      <c r="G428" s="44"/>
      <c r="H428" s="45"/>
      <c r="I428" s="54"/>
      <c r="J428" s="47" t="str">
        <f>IF(OR(K428="ERREUR",L428="ERREUR",M428="ERREUR",N428="ERREUR",O428="ERREUR",P428="ERREUR",Q428="ERREUR"),"ERREUR",IF(AND(K428="",L428="",M428="",N428="",O428="",P428="",Q428=""),"ligne vide",IF(OR(K428="",L428="",M428="",N428="",O428="",P428="",Q428=""),"ligne incomplète","Valide")))</f>
        <v xml:space="preserve">ligne vide</v>
      </c>
      <c r="K428" s="48" t="str">
        <f>IF(ISBLANK(B428),IF(ISBLANK(B429),T(B428),"ERREUR"),IF(ISNUMBER(B428),_xlfn.NUMBERVALUE(B428),IF(ISTEXT(B428),VALUE(B428),"ERREUR")))</f>
        <v/>
      </c>
      <c r="L428" s="38" t="str">
        <f>IF(COUNTIF($R$4:$R$6,C428)&gt;0,C428,IF(ISBLANK(C428),IF(ISBLANK(D428),T(C428),"ERREUR"),"ERREUR"))</f>
        <v/>
      </c>
      <c r="M428" s="49" t="str">
        <f>IF(ISBLANK(D428),IF(ISBLANK(D429),T(D428),"ERREUR"),IF(COUNTIF($T$4:$T$240,SUBSTITUTE(SUBSTITUTE(SUBSTITUTE(SUBSTITUTE(SUBSTITUTE(SUBSTITUTE(UPPER(D428),"Å","A"),"É","E"),"È","E"),"Ê","E"),"Î","I"),"Ï","I"))&gt;0,D428,IF(ISBLANK(D428),T(D428),"ERREUR")))</f>
        <v/>
      </c>
      <c r="N428" s="38" t="str">
        <f>IF(COUNTIF($V$4:$V$6,E428)&gt;0,E428,IF(ISBLANK(E428),IF(ISBLANK(E429),T(E428),"ERREUR"),"ERREUR"))</f>
        <v/>
      </c>
      <c r="O428" s="38" t="str">
        <f>IF(COUNTIF($W$4:$W$5,F428)&gt;0,F428,IF(ISBLANK(F428),IF(ISBLANK(F429),T(F428),"ERREUR"),"ERREUR"))</f>
        <v/>
      </c>
      <c r="P428" s="38" t="str">
        <f>IF(COUNTIF($X$4:$X$8,G428)&gt;0,G428,IF(ISBLANK(G428),IF(ISBLANK(G429),T(G428),"ERREUR"),"ERREUR"))</f>
        <v/>
      </c>
      <c r="Q428" s="38" t="str">
        <f>IF(ISNUMBER(H428),IF(INT(H428)=H428,H428,"ERREUR"),IF(ISBLANK(H428),IF(ISBLANK(H429),T(H428),"ERREUR"),"ERREUR"))</f>
        <v/>
      </c>
      <c r="R428" s="38"/>
      <c r="S428" s="38"/>
      <c r="T428" s="38"/>
      <c r="U428" s="38"/>
      <c r="V428" s="38"/>
      <c r="W428" s="38"/>
      <c r="X428" s="53"/>
      <c r="Y428" s="42"/>
      <c r="Z428" s="42"/>
      <c r="AA428" s="42"/>
    </row>
    <row r="429" ht="13.75" customHeight="1">
      <c r="A429" s="14" t="s">
        <v>140</v>
      </c>
      <c r="B429" s="50"/>
      <c r="C429" s="43"/>
      <c r="D429" s="43"/>
      <c r="E429" s="44"/>
      <c r="F429" s="44"/>
      <c r="G429" s="44"/>
      <c r="H429" s="45"/>
      <c r="I429" s="54"/>
      <c r="J429" s="47" t="str">
        <f>IF(OR(K429="ERREUR",L429="ERREUR",M429="ERREUR",N429="ERREUR",O429="ERREUR",P429="ERREUR",Q429="ERREUR"),"ERREUR",IF(AND(K429="",L429="",M429="",N429="",O429="",P429="",Q429=""),"ligne vide",IF(OR(K429="",L429="",M429="",N429="",O429="",P429="",Q429=""),"ligne incomplète","Valide")))</f>
        <v xml:space="preserve">ligne vide</v>
      </c>
      <c r="K429" s="48" t="str">
        <f>IF(ISBLANK(B429),IF(ISBLANK(B430),T(B429),"ERREUR"),IF(ISNUMBER(B429),_xlfn.NUMBERVALUE(B429),IF(ISTEXT(B429),VALUE(B429),"ERREUR")))</f>
        <v/>
      </c>
      <c r="L429" s="38" t="str">
        <f>IF(COUNTIF($R$4:$R$6,C429)&gt;0,C429,IF(ISBLANK(C429),IF(ISBLANK(D429),T(C429),"ERREUR"),"ERREUR"))</f>
        <v/>
      </c>
      <c r="M429" s="49" t="str">
        <f>IF(ISBLANK(D429),IF(ISBLANK(D430),T(D429),"ERREUR"),IF(COUNTIF($T$4:$T$240,SUBSTITUTE(SUBSTITUTE(SUBSTITUTE(SUBSTITUTE(SUBSTITUTE(SUBSTITUTE(UPPER(D429),"Å","A"),"É","E"),"È","E"),"Ê","E"),"Î","I"),"Ï","I"))&gt;0,D429,IF(ISBLANK(D429),T(D429),"ERREUR")))</f>
        <v/>
      </c>
      <c r="N429" s="38" t="str">
        <f>IF(COUNTIF($V$4:$V$6,E429)&gt;0,E429,IF(ISBLANK(E429),IF(ISBLANK(E430),T(E429),"ERREUR"),"ERREUR"))</f>
        <v/>
      </c>
      <c r="O429" s="38" t="str">
        <f>IF(COUNTIF($W$4:$W$5,F429)&gt;0,F429,IF(ISBLANK(F429),IF(ISBLANK(F430),T(F429),"ERREUR"),"ERREUR"))</f>
        <v/>
      </c>
      <c r="P429" s="38" t="str">
        <f>IF(COUNTIF($X$4:$X$8,G429)&gt;0,G429,IF(ISBLANK(G429),IF(ISBLANK(G430),T(G429),"ERREUR"),"ERREUR"))</f>
        <v/>
      </c>
      <c r="Q429" s="38" t="str">
        <f>IF(ISNUMBER(H429),IF(INT(H429)=H429,H429,"ERREUR"),IF(ISBLANK(H429),IF(ISBLANK(H430),T(H429),"ERREUR"),"ERREUR"))</f>
        <v/>
      </c>
      <c r="R429" s="38"/>
      <c r="S429" s="38"/>
      <c r="T429" s="38"/>
      <c r="U429" s="38"/>
      <c r="V429" s="38"/>
      <c r="W429" s="38"/>
      <c r="X429" s="53"/>
      <c r="Y429" s="42"/>
      <c r="Z429" s="42"/>
      <c r="AA429" s="42"/>
    </row>
    <row r="430" ht="13.75" customHeight="1">
      <c r="A430" s="14" t="s">
        <v>140</v>
      </c>
      <c r="B430" s="50"/>
      <c r="C430" s="43"/>
      <c r="D430" s="43"/>
      <c r="E430" s="44"/>
      <c r="F430" s="44"/>
      <c r="G430" s="44"/>
      <c r="H430" s="45"/>
      <c r="I430" s="54"/>
      <c r="J430" s="47" t="str">
        <f>IF(OR(K430="ERREUR",L430="ERREUR",M430="ERREUR",N430="ERREUR",O430="ERREUR",P430="ERREUR",Q430="ERREUR"),"ERREUR",IF(AND(K430="",L430="",M430="",N430="",O430="",P430="",Q430=""),"ligne vide",IF(OR(K430="",L430="",M430="",N430="",O430="",P430="",Q430=""),"ligne incomplète","Valide")))</f>
        <v xml:space="preserve">ligne vide</v>
      </c>
      <c r="K430" s="48" t="str">
        <f>IF(ISBLANK(B430),IF(ISBLANK(B431),T(B430),"ERREUR"),IF(ISNUMBER(B430),_xlfn.NUMBERVALUE(B430),IF(ISTEXT(B430),VALUE(B430),"ERREUR")))</f>
        <v/>
      </c>
      <c r="L430" s="38" t="str">
        <f>IF(COUNTIF($R$4:$R$6,C430)&gt;0,C430,IF(ISBLANK(C430),IF(ISBLANK(D430),T(C430),"ERREUR"),"ERREUR"))</f>
        <v/>
      </c>
      <c r="M430" s="49" t="str">
        <f>IF(ISBLANK(D430),IF(ISBLANK(D431),T(D430),"ERREUR"),IF(COUNTIF($T$4:$T$240,SUBSTITUTE(SUBSTITUTE(SUBSTITUTE(SUBSTITUTE(SUBSTITUTE(SUBSTITUTE(UPPER(D430),"Å","A"),"É","E"),"È","E"),"Ê","E"),"Î","I"),"Ï","I"))&gt;0,D430,IF(ISBLANK(D430),T(D430),"ERREUR")))</f>
        <v/>
      </c>
      <c r="N430" s="38" t="str">
        <f>IF(COUNTIF($V$4:$V$6,E430)&gt;0,E430,IF(ISBLANK(E430),IF(ISBLANK(E431),T(E430),"ERREUR"),"ERREUR"))</f>
        <v/>
      </c>
      <c r="O430" s="38" t="str">
        <f>IF(COUNTIF($W$4:$W$5,F430)&gt;0,F430,IF(ISBLANK(F430),IF(ISBLANK(F431),T(F430),"ERREUR"),"ERREUR"))</f>
        <v/>
      </c>
      <c r="P430" s="38" t="str">
        <f>IF(COUNTIF($X$4:$X$8,G430)&gt;0,G430,IF(ISBLANK(G430),IF(ISBLANK(G431),T(G430),"ERREUR"),"ERREUR"))</f>
        <v/>
      </c>
      <c r="Q430" s="38" t="str">
        <f>IF(ISNUMBER(H430),IF(INT(H430)=H430,H430,"ERREUR"),IF(ISBLANK(H430),IF(ISBLANK(H431),T(H430),"ERREUR"),"ERREUR"))</f>
        <v/>
      </c>
      <c r="R430" s="38"/>
      <c r="S430" s="38"/>
      <c r="T430" s="38"/>
      <c r="U430" s="38"/>
      <c r="V430" s="38"/>
      <c r="W430" s="38"/>
      <c r="X430" s="53"/>
      <c r="Y430" s="42"/>
      <c r="Z430" s="42"/>
      <c r="AA430" s="42"/>
    </row>
    <row r="431" ht="13.75" customHeight="1">
      <c r="A431" s="14" t="s">
        <v>140</v>
      </c>
      <c r="B431" s="50"/>
      <c r="C431" s="43"/>
      <c r="D431" s="43"/>
      <c r="E431" s="44"/>
      <c r="F431" s="44"/>
      <c r="G431" s="44"/>
      <c r="H431" s="45"/>
      <c r="I431" s="54"/>
      <c r="J431" s="47" t="str">
        <f>IF(OR(K431="ERREUR",L431="ERREUR",M431="ERREUR",N431="ERREUR",O431="ERREUR",P431="ERREUR",Q431="ERREUR"),"ERREUR",IF(AND(K431="",L431="",M431="",N431="",O431="",P431="",Q431=""),"ligne vide",IF(OR(K431="",L431="",M431="",N431="",O431="",P431="",Q431=""),"ligne incomplète","Valide")))</f>
        <v xml:space="preserve">ligne vide</v>
      </c>
      <c r="K431" s="48" t="str">
        <f>IF(ISBLANK(B431),IF(ISBLANK(B432),T(B431),"ERREUR"),IF(ISNUMBER(B431),_xlfn.NUMBERVALUE(B431),IF(ISTEXT(B431),VALUE(B431),"ERREUR")))</f>
        <v/>
      </c>
      <c r="L431" s="38" t="str">
        <f>IF(COUNTIF($R$4:$R$6,C431)&gt;0,C431,IF(ISBLANK(C431),IF(ISBLANK(D431),T(C431),"ERREUR"),"ERREUR"))</f>
        <v/>
      </c>
      <c r="M431" s="49" t="str">
        <f>IF(ISBLANK(D431),IF(ISBLANK(D432),T(D431),"ERREUR"),IF(COUNTIF($T$4:$T$240,SUBSTITUTE(SUBSTITUTE(SUBSTITUTE(SUBSTITUTE(SUBSTITUTE(SUBSTITUTE(UPPER(D431),"Å","A"),"É","E"),"È","E"),"Ê","E"),"Î","I"),"Ï","I"))&gt;0,D431,IF(ISBLANK(D431),T(D431),"ERREUR")))</f>
        <v/>
      </c>
      <c r="N431" s="38" t="str">
        <f>IF(COUNTIF($V$4:$V$6,E431)&gt;0,E431,IF(ISBLANK(E431),IF(ISBLANK(E432),T(E431),"ERREUR"),"ERREUR"))</f>
        <v/>
      </c>
      <c r="O431" s="38" t="str">
        <f>IF(COUNTIF($W$4:$W$5,F431)&gt;0,F431,IF(ISBLANK(F431),IF(ISBLANK(F432),T(F431),"ERREUR"),"ERREUR"))</f>
        <v/>
      </c>
      <c r="P431" s="38" t="str">
        <f>IF(COUNTIF($X$4:$X$8,G431)&gt;0,G431,IF(ISBLANK(G431),IF(ISBLANK(G432),T(G431),"ERREUR"),"ERREUR"))</f>
        <v/>
      </c>
      <c r="Q431" s="38" t="str">
        <f>IF(ISNUMBER(H431),IF(INT(H431)=H431,H431,"ERREUR"),IF(ISBLANK(H431),IF(ISBLANK(H432),T(H431),"ERREUR"),"ERREUR"))</f>
        <v/>
      </c>
      <c r="R431" s="38"/>
      <c r="S431" s="38"/>
      <c r="T431" s="38"/>
      <c r="U431" s="38"/>
      <c r="V431" s="38"/>
      <c r="W431" s="38"/>
      <c r="X431" s="53"/>
      <c r="Y431" s="42"/>
      <c r="Z431" s="42"/>
      <c r="AA431" s="42"/>
    </row>
    <row r="432" ht="13.75" customHeight="1">
      <c r="A432" s="14" t="s">
        <v>140</v>
      </c>
      <c r="B432" s="50"/>
      <c r="C432" s="43"/>
      <c r="D432" s="43"/>
      <c r="E432" s="44"/>
      <c r="F432" s="44"/>
      <c r="G432" s="44"/>
      <c r="H432" s="45"/>
      <c r="I432" s="54"/>
      <c r="J432" s="47" t="str">
        <f>IF(OR(K432="ERREUR",L432="ERREUR",M432="ERREUR",N432="ERREUR",O432="ERREUR",P432="ERREUR",Q432="ERREUR"),"ERREUR",IF(AND(K432="",L432="",M432="",N432="",O432="",P432="",Q432=""),"ligne vide",IF(OR(K432="",L432="",M432="",N432="",O432="",P432="",Q432=""),"ligne incomplète","Valide")))</f>
        <v xml:space="preserve">ligne vide</v>
      </c>
      <c r="K432" s="48" t="str">
        <f>IF(ISBLANK(B432),IF(ISBLANK(B433),T(B432),"ERREUR"),IF(ISNUMBER(B432),_xlfn.NUMBERVALUE(B432),IF(ISTEXT(B432),VALUE(B432),"ERREUR")))</f>
        <v/>
      </c>
      <c r="L432" s="38" t="str">
        <f>IF(COUNTIF($R$4:$R$6,C432)&gt;0,C432,IF(ISBLANK(C432),IF(ISBLANK(D432),T(C432),"ERREUR"),"ERREUR"))</f>
        <v/>
      </c>
      <c r="M432" s="49" t="str">
        <f>IF(ISBLANK(D432),IF(ISBLANK(D433),T(D432),"ERREUR"),IF(COUNTIF($T$4:$T$240,SUBSTITUTE(SUBSTITUTE(SUBSTITUTE(SUBSTITUTE(SUBSTITUTE(SUBSTITUTE(UPPER(D432),"Å","A"),"É","E"),"È","E"),"Ê","E"),"Î","I"),"Ï","I"))&gt;0,D432,IF(ISBLANK(D432),T(D432),"ERREUR")))</f>
        <v/>
      </c>
      <c r="N432" s="38" t="str">
        <f>IF(COUNTIF($V$4:$V$6,E432)&gt;0,E432,IF(ISBLANK(E432),IF(ISBLANK(E433),T(E432),"ERREUR"),"ERREUR"))</f>
        <v/>
      </c>
      <c r="O432" s="38" t="str">
        <f>IF(COUNTIF($W$4:$W$5,F432)&gt;0,F432,IF(ISBLANK(F432),IF(ISBLANK(F433),T(F432),"ERREUR"),"ERREUR"))</f>
        <v/>
      </c>
      <c r="P432" s="38" t="str">
        <f>IF(COUNTIF($X$4:$X$8,G432)&gt;0,G432,IF(ISBLANK(G432),IF(ISBLANK(G433),T(G432),"ERREUR"),"ERREUR"))</f>
        <v/>
      </c>
      <c r="Q432" s="38" t="str">
        <f>IF(ISNUMBER(H432),IF(INT(H432)=H432,H432,"ERREUR"),IF(ISBLANK(H432),IF(ISBLANK(H433),T(H432),"ERREUR"),"ERREUR"))</f>
        <v/>
      </c>
      <c r="R432" s="38"/>
      <c r="S432" s="38"/>
      <c r="T432" s="38"/>
      <c r="U432" s="38"/>
      <c r="V432" s="38"/>
      <c r="W432" s="38"/>
      <c r="X432" s="53"/>
      <c r="Y432" s="42"/>
      <c r="Z432" s="42"/>
      <c r="AA432" s="42"/>
    </row>
    <row r="433" ht="13.75" customHeight="1">
      <c r="A433" s="14" t="s">
        <v>140</v>
      </c>
      <c r="B433" s="50"/>
      <c r="C433" s="43"/>
      <c r="D433" s="43"/>
      <c r="E433" s="44"/>
      <c r="F433" s="44"/>
      <c r="G433" s="44"/>
      <c r="H433" s="45"/>
      <c r="I433" s="54"/>
      <c r="J433" s="47" t="str">
        <f>IF(OR(K433="ERREUR",L433="ERREUR",M433="ERREUR",N433="ERREUR",O433="ERREUR",P433="ERREUR",Q433="ERREUR"),"ERREUR",IF(AND(K433="",L433="",M433="",N433="",O433="",P433="",Q433=""),"ligne vide",IF(OR(K433="",L433="",M433="",N433="",O433="",P433="",Q433=""),"ligne incomplète","Valide")))</f>
        <v xml:space="preserve">ligne vide</v>
      </c>
      <c r="K433" s="48" t="str">
        <f>IF(ISBLANK(B433),IF(ISBLANK(B434),T(B433),"ERREUR"),IF(ISNUMBER(B433),_xlfn.NUMBERVALUE(B433),IF(ISTEXT(B433),VALUE(B433),"ERREUR")))</f>
        <v/>
      </c>
      <c r="L433" s="38" t="str">
        <f>IF(COUNTIF($R$4:$R$6,C433)&gt;0,C433,IF(ISBLANK(C433),IF(ISBLANK(D433),T(C433),"ERREUR"),"ERREUR"))</f>
        <v/>
      </c>
      <c r="M433" s="49" t="str">
        <f>IF(ISBLANK(D433),IF(ISBLANK(D434),T(D433),"ERREUR"),IF(COUNTIF($T$4:$T$240,SUBSTITUTE(SUBSTITUTE(SUBSTITUTE(SUBSTITUTE(SUBSTITUTE(SUBSTITUTE(UPPER(D433),"Å","A"),"É","E"),"È","E"),"Ê","E"),"Î","I"),"Ï","I"))&gt;0,D433,IF(ISBLANK(D433),T(D433),"ERREUR")))</f>
        <v/>
      </c>
      <c r="N433" s="38" t="str">
        <f>IF(COUNTIF($V$4:$V$6,E433)&gt;0,E433,IF(ISBLANK(E433),IF(ISBLANK(E434),T(E433),"ERREUR"),"ERREUR"))</f>
        <v/>
      </c>
      <c r="O433" s="38" t="str">
        <f>IF(COUNTIF($W$4:$W$5,F433)&gt;0,F433,IF(ISBLANK(F433),IF(ISBLANK(F434),T(F433),"ERREUR"),"ERREUR"))</f>
        <v/>
      </c>
      <c r="P433" s="38" t="str">
        <f>IF(COUNTIF($X$4:$X$8,G433)&gt;0,G433,IF(ISBLANK(G433),IF(ISBLANK(G434),T(G433),"ERREUR"),"ERREUR"))</f>
        <v/>
      </c>
      <c r="Q433" s="38" t="str">
        <f>IF(ISNUMBER(H433),IF(INT(H433)=H433,H433,"ERREUR"),IF(ISBLANK(H433),IF(ISBLANK(H434),T(H433),"ERREUR"),"ERREUR"))</f>
        <v/>
      </c>
      <c r="R433" s="38"/>
      <c r="S433" s="38"/>
      <c r="T433" s="38"/>
      <c r="U433" s="38"/>
      <c r="V433" s="38"/>
      <c r="W433" s="38"/>
      <c r="X433" s="53"/>
      <c r="Y433" s="42"/>
      <c r="Z433" s="42"/>
      <c r="AA433" s="42"/>
    </row>
    <row r="434" ht="13.75" customHeight="1">
      <c r="A434" s="14" t="s">
        <v>140</v>
      </c>
      <c r="B434" s="50"/>
      <c r="C434" s="43"/>
      <c r="D434" s="43"/>
      <c r="E434" s="44"/>
      <c r="F434" s="44"/>
      <c r="G434" s="44"/>
      <c r="H434" s="45"/>
      <c r="I434" s="54"/>
      <c r="J434" s="47" t="str">
        <f>IF(OR(K434="ERREUR",L434="ERREUR",M434="ERREUR",N434="ERREUR",O434="ERREUR",P434="ERREUR",Q434="ERREUR"),"ERREUR",IF(AND(K434="",L434="",M434="",N434="",O434="",P434="",Q434=""),"ligne vide",IF(OR(K434="",L434="",M434="",N434="",O434="",P434="",Q434=""),"ligne incomplète","Valide")))</f>
        <v xml:space="preserve">ligne vide</v>
      </c>
      <c r="K434" s="48" t="str">
        <f>IF(ISBLANK(B434),IF(ISBLANK(B435),T(B434),"ERREUR"),IF(ISNUMBER(B434),_xlfn.NUMBERVALUE(B434),IF(ISTEXT(B434),VALUE(B434),"ERREUR")))</f>
        <v/>
      </c>
      <c r="L434" s="38" t="str">
        <f>IF(COUNTIF($R$4:$R$6,C434)&gt;0,C434,IF(ISBLANK(C434),IF(ISBLANK(D434),T(C434),"ERREUR"),"ERREUR"))</f>
        <v/>
      </c>
      <c r="M434" s="49" t="str">
        <f>IF(ISBLANK(D434),IF(ISBLANK(D435),T(D434),"ERREUR"),IF(COUNTIF($T$4:$T$240,SUBSTITUTE(SUBSTITUTE(SUBSTITUTE(SUBSTITUTE(SUBSTITUTE(SUBSTITUTE(UPPER(D434),"Å","A"),"É","E"),"È","E"),"Ê","E"),"Î","I"),"Ï","I"))&gt;0,D434,IF(ISBLANK(D434),T(D434),"ERREUR")))</f>
        <v/>
      </c>
      <c r="N434" s="38" t="str">
        <f>IF(COUNTIF($V$4:$V$6,E434)&gt;0,E434,IF(ISBLANK(E434),IF(ISBLANK(E435),T(E434),"ERREUR"),"ERREUR"))</f>
        <v/>
      </c>
      <c r="O434" s="38" t="str">
        <f>IF(COUNTIF($W$4:$W$5,F434)&gt;0,F434,IF(ISBLANK(F434),IF(ISBLANK(F435),T(F434),"ERREUR"),"ERREUR"))</f>
        <v/>
      </c>
      <c r="P434" s="38" t="str">
        <f>IF(COUNTIF($X$4:$X$8,G434)&gt;0,G434,IF(ISBLANK(G434),IF(ISBLANK(G435),T(G434),"ERREUR"),"ERREUR"))</f>
        <v/>
      </c>
      <c r="Q434" s="38" t="str">
        <f>IF(ISNUMBER(H434),IF(INT(H434)=H434,H434,"ERREUR"),IF(ISBLANK(H434),IF(ISBLANK(H435),T(H434),"ERREUR"),"ERREUR"))</f>
        <v/>
      </c>
      <c r="R434" s="38"/>
      <c r="S434" s="38"/>
      <c r="T434" s="38"/>
      <c r="U434" s="38"/>
      <c r="V434" s="38"/>
      <c r="W434" s="38"/>
      <c r="X434" s="53"/>
      <c r="Y434" s="42"/>
      <c r="Z434" s="42"/>
      <c r="AA434" s="42"/>
    </row>
    <row r="435" ht="13.75" customHeight="1">
      <c r="A435" s="14" t="s">
        <v>140</v>
      </c>
      <c r="B435" s="50"/>
      <c r="C435" s="43"/>
      <c r="D435" s="43"/>
      <c r="E435" s="44"/>
      <c r="F435" s="44"/>
      <c r="G435" s="44"/>
      <c r="H435" s="45"/>
      <c r="I435" s="54"/>
      <c r="J435" s="47" t="str">
        <f>IF(OR(K435="ERREUR",L435="ERREUR",M435="ERREUR",N435="ERREUR",O435="ERREUR",P435="ERREUR",Q435="ERREUR"),"ERREUR",IF(AND(K435="",L435="",M435="",N435="",O435="",P435="",Q435=""),"ligne vide",IF(OR(K435="",L435="",M435="",N435="",O435="",P435="",Q435=""),"ligne incomplète","Valide")))</f>
        <v xml:space="preserve">ligne vide</v>
      </c>
      <c r="K435" s="48" t="str">
        <f>IF(ISBLANK(B435),IF(ISBLANK(B436),T(B435),"ERREUR"),IF(ISNUMBER(B435),_xlfn.NUMBERVALUE(B435),IF(ISTEXT(B435),VALUE(B435),"ERREUR")))</f>
        <v/>
      </c>
      <c r="L435" s="38" t="str">
        <f>IF(COUNTIF($R$4:$R$6,C435)&gt;0,C435,IF(ISBLANK(C435),IF(ISBLANK(D435),T(C435),"ERREUR"),"ERREUR"))</f>
        <v/>
      </c>
      <c r="M435" s="49" t="str">
        <f>IF(ISBLANK(D435),IF(ISBLANK(D436),T(D435),"ERREUR"),IF(COUNTIF($T$4:$T$240,SUBSTITUTE(SUBSTITUTE(SUBSTITUTE(SUBSTITUTE(SUBSTITUTE(SUBSTITUTE(UPPER(D435),"Å","A"),"É","E"),"È","E"),"Ê","E"),"Î","I"),"Ï","I"))&gt;0,D435,IF(ISBLANK(D435),T(D435),"ERREUR")))</f>
        <v/>
      </c>
      <c r="N435" s="38" t="str">
        <f>IF(COUNTIF($V$4:$V$6,E435)&gt;0,E435,IF(ISBLANK(E435),IF(ISBLANK(E436),T(E435),"ERREUR"),"ERREUR"))</f>
        <v/>
      </c>
      <c r="O435" s="38" t="str">
        <f>IF(COUNTIF($W$4:$W$5,F435)&gt;0,F435,IF(ISBLANK(F435),IF(ISBLANK(F436),T(F435),"ERREUR"),"ERREUR"))</f>
        <v/>
      </c>
      <c r="P435" s="38" t="str">
        <f>IF(COUNTIF($X$4:$X$8,G435)&gt;0,G435,IF(ISBLANK(G435),IF(ISBLANK(G436),T(G435),"ERREUR"),"ERREUR"))</f>
        <v/>
      </c>
      <c r="Q435" s="38" t="str">
        <f>IF(ISNUMBER(H435),IF(INT(H435)=H435,H435,"ERREUR"),IF(ISBLANK(H435),IF(ISBLANK(H436),T(H435),"ERREUR"),"ERREUR"))</f>
        <v/>
      </c>
      <c r="R435" s="38"/>
      <c r="S435" s="38"/>
      <c r="T435" s="38"/>
      <c r="U435" s="38"/>
      <c r="V435" s="38"/>
      <c r="W435" s="38"/>
      <c r="X435" s="53"/>
      <c r="Y435" s="42"/>
      <c r="Z435" s="42"/>
      <c r="AA435" s="42"/>
    </row>
    <row r="436" ht="13.75" customHeight="1">
      <c r="A436" s="14" t="s">
        <v>140</v>
      </c>
      <c r="B436" s="50"/>
      <c r="C436" s="43"/>
      <c r="D436" s="43"/>
      <c r="E436" s="44"/>
      <c r="F436" s="44"/>
      <c r="G436" s="44"/>
      <c r="H436" s="45"/>
      <c r="I436" s="54"/>
      <c r="J436" s="47" t="str">
        <f>IF(OR(K436="ERREUR",L436="ERREUR",M436="ERREUR",N436="ERREUR",O436="ERREUR",P436="ERREUR",Q436="ERREUR"),"ERREUR",IF(AND(K436="",L436="",M436="",N436="",O436="",P436="",Q436=""),"ligne vide",IF(OR(K436="",L436="",M436="",N436="",O436="",P436="",Q436=""),"ligne incomplète","Valide")))</f>
        <v xml:space="preserve">ligne vide</v>
      </c>
      <c r="K436" s="48" t="str">
        <f>IF(ISBLANK(B436),IF(ISBLANK(B437),T(B436),"ERREUR"),IF(ISNUMBER(B436),_xlfn.NUMBERVALUE(B436),IF(ISTEXT(B436),VALUE(B436),"ERREUR")))</f>
        <v/>
      </c>
      <c r="L436" s="38" t="str">
        <f>IF(COUNTIF($R$4:$R$6,C436)&gt;0,C436,IF(ISBLANK(C436),IF(ISBLANK(D436),T(C436),"ERREUR"),"ERREUR"))</f>
        <v/>
      </c>
      <c r="M436" s="49" t="str">
        <f>IF(ISBLANK(D436),IF(ISBLANK(D437),T(D436),"ERREUR"),IF(COUNTIF($T$4:$T$240,SUBSTITUTE(SUBSTITUTE(SUBSTITUTE(SUBSTITUTE(SUBSTITUTE(SUBSTITUTE(UPPER(D436),"Å","A"),"É","E"),"È","E"),"Ê","E"),"Î","I"),"Ï","I"))&gt;0,D436,IF(ISBLANK(D436),T(D436),"ERREUR")))</f>
        <v/>
      </c>
      <c r="N436" s="38" t="str">
        <f>IF(COUNTIF($V$4:$V$6,E436)&gt;0,E436,IF(ISBLANK(E436),IF(ISBLANK(E437),T(E436),"ERREUR"),"ERREUR"))</f>
        <v/>
      </c>
      <c r="O436" s="38" t="str">
        <f>IF(COUNTIF($W$4:$W$5,F436)&gt;0,F436,IF(ISBLANK(F436),IF(ISBLANK(F437),T(F436),"ERREUR"),"ERREUR"))</f>
        <v/>
      </c>
      <c r="P436" s="38" t="str">
        <f>IF(COUNTIF($X$4:$X$8,G436)&gt;0,G436,IF(ISBLANK(G436),IF(ISBLANK(G437),T(G436),"ERREUR"),"ERREUR"))</f>
        <v/>
      </c>
      <c r="Q436" s="38" t="str">
        <f>IF(ISNUMBER(H436),IF(INT(H436)=H436,H436,"ERREUR"),IF(ISBLANK(H436),IF(ISBLANK(H437),T(H436),"ERREUR"),"ERREUR"))</f>
        <v/>
      </c>
      <c r="R436" s="38"/>
      <c r="S436" s="38"/>
      <c r="T436" s="38"/>
      <c r="U436" s="38"/>
      <c r="V436" s="38"/>
      <c r="W436" s="38"/>
      <c r="X436" s="53"/>
      <c r="Y436" s="42"/>
      <c r="Z436" s="42"/>
      <c r="AA436" s="42"/>
    </row>
    <row r="437" ht="13.75" customHeight="1">
      <c r="A437" s="14" t="s">
        <v>140</v>
      </c>
      <c r="B437" s="50"/>
      <c r="C437" s="43"/>
      <c r="D437" s="43"/>
      <c r="E437" s="44"/>
      <c r="F437" s="44"/>
      <c r="G437" s="44"/>
      <c r="H437" s="45"/>
      <c r="I437" s="54"/>
      <c r="J437" s="47" t="str">
        <f>IF(OR(K437="ERREUR",L437="ERREUR",M437="ERREUR",N437="ERREUR",O437="ERREUR",P437="ERREUR",Q437="ERREUR"),"ERREUR",IF(AND(K437="",L437="",M437="",N437="",O437="",P437="",Q437=""),"ligne vide",IF(OR(K437="",L437="",M437="",N437="",O437="",P437="",Q437=""),"ligne incomplète","Valide")))</f>
        <v xml:space="preserve">ligne vide</v>
      </c>
      <c r="K437" s="48" t="str">
        <f>IF(ISBLANK(B437),IF(ISBLANK(B438),T(B437),"ERREUR"),IF(ISNUMBER(B437),_xlfn.NUMBERVALUE(B437),IF(ISTEXT(B437),VALUE(B437),"ERREUR")))</f>
        <v/>
      </c>
      <c r="L437" s="38" t="str">
        <f>IF(COUNTIF($R$4:$R$6,C437)&gt;0,C437,IF(ISBLANK(C437),IF(ISBLANK(D437),T(C437),"ERREUR"),"ERREUR"))</f>
        <v/>
      </c>
      <c r="M437" s="49" t="str">
        <f>IF(ISBLANK(D437),IF(ISBLANK(D438),T(D437),"ERREUR"),IF(COUNTIF($T$4:$T$240,SUBSTITUTE(SUBSTITUTE(SUBSTITUTE(SUBSTITUTE(SUBSTITUTE(SUBSTITUTE(UPPER(D437),"Å","A"),"É","E"),"È","E"),"Ê","E"),"Î","I"),"Ï","I"))&gt;0,D437,IF(ISBLANK(D437),T(D437),"ERREUR")))</f>
        <v/>
      </c>
      <c r="N437" s="38" t="str">
        <f>IF(COUNTIF($V$4:$V$6,E437)&gt;0,E437,IF(ISBLANK(E437),IF(ISBLANK(E438),T(E437),"ERREUR"),"ERREUR"))</f>
        <v/>
      </c>
      <c r="O437" s="38" t="str">
        <f>IF(COUNTIF($W$4:$W$5,F437)&gt;0,F437,IF(ISBLANK(F437),IF(ISBLANK(F438),T(F437),"ERREUR"),"ERREUR"))</f>
        <v/>
      </c>
      <c r="P437" s="38" t="str">
        <f>IF(COUNTIF($X$4:$X$8,G437)&gt;0,G437,IF(ISBLANK(G437),IF(ISBLANK(G438),T(G437),"ERREUR"),"ERREUR"))</f>
        <v/>
      </c>
      <c r="Q437" s="38" t="str">
        <f>IF(ISNUMBER(H437),IF(INT(H437)=H437,H437,"ERREUR"),IF(ISBLANK(H437),IF(ISBLANK(H438),T(H437),"ERREUR"),"ERREUR"))</f>
        <v/>
      </c>
      <c r="R437" s="38"/>
      <c r="S437" s="38"/>
      <c r="T437" s="38"/>
      <c r="U437" s="38"/>
      <c r="V437" s="38"/>
      <c r="W437" s="38"/>
      <c r="X437" s="53"/>
      <c r="Y437" s="42"/>
      <c r="Z437" s="42"/>
      <c r="AA437" s="42"/>
    </row>
    <row r="438" ht="13.75" customHeight="1">
      <c r="A438" s="14" t="s">
        <v>140</v>
      </c>
      <c r="B438" s="50"/>
      <c r="C438" s="43"/>
      <c r="D438" s="43"/>
      <c r="E438" s="44"/>
      <c r="F438" s="44"/>
      <c r="G438" s="44"/>
      <c r="H438" s="45"/>
      <c r="I438" s="54"/>
      <c r="J438" s="47" t="str">
        <f>IF(OR(K438="ERREUR",L438="ERREUR",M438="ERREUR",N438="ERREUR",O438="ERREUR",P438="ERREUR",Q438="ERREUR"),"ERREUR",IF(AND(K438="",L438="",M438="",N438="",O438="",P438="",Q438=""),"ligne vide",IF(OR(K438="",L438="",M438="",N438="",O438="",P438="",Q438=""),"ligne incomplète","Valide")))</f>
        <v xml:space="preserve">ligne vide</v>
      </c>
      <c r="K438" s="48" t="str">
        <f>IF(ISBLANK(B438),IF(ISBLANK(B439),T(B438),"ERREUR"),IF(ISNUMBER(B438),_xlfn.NUMBERVALUE(B438),IF(ISTEXT(B438),VALUE(B438),"ERREUR")))</f>
        <v/>
      </c>
      <c r="L438" s="38" t="str">
        <f>IF(COUNTIF($R$4:$R$6,C438)&gt;0,C438,IF(ISBLANK(C438),IF(ISBLANK(D438),T(C438),"ERREUR"),"ERREUR"))</f>
        <v/>
      </c>
      <c r="M438" s="49" t="str">
        <f>IF(ISBLANK(D438),IF(ISBLANK(D439),T(D438),"ERREUR"),IF(COUNTIF($T$4:$T$240,SUBSTITUTE(SUBSTITUTE(SUBSTITUTE(SUBSTITUTE(SUBSTITUTE(SUBSTITUTE(UPPER(D438),"Å","A"),"É","E"),"È","E"),"Ê","E"),"Î","I"),"Ï","I"))&gt;0,D438,IF(ISBLANK(D438),T(D438),"ERREUR")))</f>
        <v/>
      </c>
      <c r="N438" s="38" t="str">
        <f>IF(COUNTIF($V$4:$V$6,E438)&gt;0,E438,IF(ISBLANK(E438),IF(ISBLANK(E439),T(E438),"ERREUR"),"ERREUR"))</f>
        <v/>
      </c>
      <c r="O438" s="38" t="str">
        <f>IF(COUNTIF($W$4:$W$5,F438)&gt;0,F438,IF(ISBLANK(F438),IF(ISBLANK(F439),T(F438),"ERREUR"),"ERREUR"))</f>
        <v/>
      </c>
      <c r="P438" s="38" t="str">
        <f>IF(COUNTIF($X$4:$X$8,G438)&gt;0,G438,IF(ISBLANK(G438),IF(ISBLANK(G439),T(G438),"ERREUR"),"ERREUR"))</f>
        <v/>
      </c>
      <c r="Q438" s="38" t="str">
        <f>IF(ISNUMBER(H438),IF(INT(H438)=H438,H438,"ERREUR"),IF(ISBLANK(H438),IF(ISBLANK(H439),T(H438),"ERREUR"),"ERREUR"))</f>
        <v/>
      </c>
      <c r="R438" s="38"/>
      <c r="S438" s="38"/>
      <c r="T438" s="38"/>
      <c r="U438" s="38"/>
      <c r="V438" s="38"/>
      <c r="W438" s="38"/>
      <c r="X438" s="53"/>
      <c r="Y438" s="42"/>
      <c r="Z438" s="42"/>
      <c r="AA438" s="42"/>
    </row>
    <row r="439" ht="13.75" customHeight="1">
      <c r="A439" s="14" t="s">
        <v>140</v>
      </c>
      <c r="B439" s="50"/>
      <c r="C439" s="43"/>
      <c r="D439" s="43"/>
      <c r="E439" s="44"/>
      <c r="F439" s="44"/>
      <c r="G439" s="44"/>
      <c r="H439" s="45"/>
      <c r="I439" s="54"/>
      <c r="J439" s="47" t="str">
        <f>IF(OR(K439="ERREUR",L439="ERREUR",M439="ERREUR",N439="ERREUR",O439="ERREUR",P439="ERREUR",Q439="ERREUR"),"ERREUR",IF(AND(K439="",L439="",M439="",N439="",O439="",P439="",Q439=""),"ligne vide",IF(OR(K439="",L439="",M439="",N439="",O439="",P439="",Q439=""),"ligne incomplète","Valide")))</f>
        <v xml:space="preserve">ligne vide</v>
      </c>
      <c r="K439" s="48" t="str">
        <f>IF(ISBLANK(B439),IF(ISBLANK(B440),T(B439),"ERREUR"),IF(ISNUMBER(B439),_xlfn.NUMBERVALUE(B439),IF(ISTEXT(B439),VALUE(B439),"ERREUR")))</f>
        <v/>
      </c>
      <c r="L439" s="38" t="str">
        <f>IF(COUNTIF($R$4:$R$6,C439)&gt;0,C439,IF(ISBLANK(C439),IF(ISBLANK(D439),T(C439),"ERREUR"),"ERREUR"))</f>
        <v/>
      </c>
      <c r="M439" s="49" t="str">
        <f>IF(ISBLANK(D439),IF(ISBLANK(D440),T(D439),"ERREUR"),IF(COUNTIF($T$4:$T$240,SUBSTITUTE(SUBSTITUTE(SUBSTITUTE(SUBSTITUTE(SUBSTITUTE(SUBSTITUTE(UPPER(D439),"Å","A"),"É","E"),"È","E"),"Ê","E"),"Î","I"),"Ï","I"))&gt;0,D439,IF(ISBLANK(D439),T(D439),"ERREUR")))</f>
        <v/>
      </c>
      <c r="N439" s="38" t="str">
        <f>IF(COUNTIF($V$4:$V$6,E439)&gt;0,E439,IF(ISBLANK(E439),IF(ISBLANK(E440),T(E439),"ERREUR"),"ERREUR"))</f>
        <v/>
      </c>
      <c r="O439" s="38" t="str">
        <f>IF(COUNTIF($W$4:$W$5,F439)&gt;0,F439,IF(ISBLANK(F439),IF(ISBLANK(F440),T(F439),"ERREUR"),"ERREUR"))</f>
        <v/>
      </c>
      <c r="P439" s="38" t="str">
        <f>IF(COUNTIF($X$4:$X$8,G439)&gt;0,G439,IF(ISBLANK(G439),IF(ISBLANK(G440),T(G439),"ERREUR"),"ERREUR"))</f>
        <v/>
      </c>
      <c r="Q439" s="38" t="str">
        <f>IF(ISNUMBER(H439),IF(INT(H439)=H439,H439,"ERREUR"),IF(ISBLANK(H439),IF(ISBLANK(H440),T(H439),"ERREUR"),"ERREUR"))</f>
        <v/>
      </c>
      <c r="R439" s="38"/>
      <c r="S439" s="38"/>
      <c r="T439" s="38"/>
      <c r="U439" s="38"/>
      <c r="V439" s="38"/>
      <c r="W439" s="38"/>
      <c r="X439" s="53"/>
      <c r="Y439" s="42"/>
      <c r="Z439" s="42"/>
      <c r="AA439" s="42"/>
    </row>
    <row r="440" ht="13.75" customHeight="1">
      <c r="A440" s="14" t="s">
        <v>140</v>
      </c>
      <c r="B440" s="50"/>
      <c r="C440" s="43"/>
      <c r="D440" s="43"/>
      <c r="E440" s="44"/>
      <c r="F440" s="44"/>
      <c r="G440" s="44"/>
      <c r="H440" s="45"/>
      <c r="I440" s="54"/>
      <c r="J440" s="47" t="str">
        <f>IF(OR(K440="ERREUR",L440="ERREUR",M440="ERREUR",N440="ERREUR",O440="ERREUR",P440="ERREUR",Q440="ERREUR"),"ERREUR",IF(AND(K440="",L440="",M440="",N440="",O440="",P440="",Q440=""),"ligne vide",IF(OR(K440="",L440="",M440="",N440="",O440="",P440="",Q440=""),"ligne incomplète","Valide")))</f>
        <v xml:space="preserve">ligne vide</v>
      </c>
      <c r="K440" s="48" t="str">
        <f>IF(ISBLANK(B440),IF(ISBLANK(B441),T(B440),"ERREUR"),IF(ISNUMBER(B440),_xlfn.NUMBERVALUE(B440),IF(ISTEXT(B440),VALUE(B440),"ERREUR")))</f>
        <v/>
      </c>
      <c r="L440" s="38" t="str">
        <f>IF(COUNTIF($R$4:$R$6,C440)&gt;0,C440,IF(ISBLANK(C440),IF(ISBLANK(D440),T(C440),"ERREUR"),"ERREUR"))</f>
        <v/>
      </c>
      <c r="M440" s="49" t="str">
        <f>IF(ISBLANK(D440),IF(ISBLANK(D441),T(D440),"ERREUR"),IF(COUNTIF($T$4:$T$240,SUBSTITUTE(SUBSTITUTE(SUBSTITUTE(SUBSTITUTE(SUBSTITUTE(SUBSTITUTE(UPPER(D440),"Å","A"),"É","E"),"È","E"),"Ê","E"),"Î","I"),"Ï","I"))&gt;0,D440,IF(ISBLANK(D440),T(D440),"ERREUR")))</f>
        <v/>
      </c>
      <c r="N440" s="38" t="str">
        <f>IF(COUNTIF($V$4:$V$6,E440)&gt;0,E440,IF(ISBLANK(E440),IF(ISBLANK(E441),T(E440),"ERREUR"),"ERREUR"))</f>
        <v/>
      </c>
      <c r="O440" s="38" t="str">
        <f>IF(COUNTIF($W$4:$W$5,F440)&gt;0,F440,IF(ISBLANK(F440),IF(ISBLANK(F441),T(F440),"ERREUR"),"ERREUR"))</f>
        <v/>
      </c>
      <c r="P440" s="38" t="str">
        <f>IF(COUNTIF($X$4:$X$8,G440)&gt;0,G440,IF(ISBLANK(G440),IF(ISBLANK(G441),T(G440),"ERREUR"),"ERREUR"))</f>
        <v/>
      </c>
      <c r="Q440" s="38" t="str">
        <f>IF(ISNUMBER(H440),IF(INT(H440)=H440,H440,"ERREUR"),IF(ISBLANK(H440),IF(ISBLANK(H441),T(H440),"ERREUR"),"ERREUR"))</f>
        <v/>
      </c>
      <c r="R440" s="38"/>
      <c r="S440" s="38"/>
      <c r="T440" s="38"/>
      <c r="U440" s="38"/>
      <c r="V440" s="38"/>
      <c r="W440" s="38"/>
      <c r="X440" s="53"/>
      <c r="Y440" s="42"/>
      <c r="Z440" s="42"/>
      <c r="AA440" s="42"/>
    </row>
    <row r="441" ht="13.75" customHeight="1">
      <c r="A441" s="14" t="s">
        <v>140</v>
      </c>
      <c r="B441" s="50"/>
      <c r="C441" s="43"/>
      <c r="D441" s="43"/>
      <c r="E441" s="44"/>
      <c r="F441" s="44"/>
      <c r="G441" s="44"/>
      <c r="H441" s="45"/>
      <c r="I441" s="54"/>
      <c r="J441" s="47" t="str">
        <f>IF(OR(K441="ERREUR",L441="ERREUR",M441="ERREUR",N441="ERREUR",O441="ERREUR",P441="ERREUR",Q441="ERREUR"),"ERREUR",IF(AND(K441="",L441="",M441="",N441="",O441="",P441="",Q441=""),"ligne vide",IF(OR(K441="",L441="",M441="",N441="",O441="",P441="",Q441=""),"ligne incomplète","Valide")))</f>
        <v xml:space="preserve">ligne vide</v>
      </c>
      <c r="K441" s="48" t="str">
        <f>IF(ISBLANK(B441),IF(ISBLANK(B442),T(B441),"ERREUR"),IF(ISNUMBER(B441),_xlfn.NUMBERVALUE(B441),IF(ISTEXT(B441),VALUE(B441),"ERREUR")))</f>
        <v/>
      </c>
      <c r="L441" s="38" t="str">
        <f>IF(COUNTIF($R$4:$R$6,C441)&gt;0,C441,IF(ISBLANK(C441),IF(ISBLANK(D441),T(C441),"ERREUR"),"ERREUR"))</f>
        <v/>
      </c>
      <c r="M441" s="49" t="str">
        <f>IF(ISBLANK(D441),IF(ISBLANK(D442),T(D441),"ERREUR"),IF(COUNTIF($T$4:$T$240,SUBSTITUTE(SUBSTITUTE(SUBSTITUTE(SUBSTITUTE(SUBSTITUTE(SUBSTITUTE(UPPER(D441),"Å","A"),"É","E"),"È","E"),"Ê","E"),"Î","I"),"Ï","I"))&gt;0,D441,IF(ISBLANK(D441),T(D441),"ERREUR")))</f>
        <v/>
      </c>
      <c r="N441" s="38" t="str">
        <f>IF(COUNTIF($V$4:$V$6,E441)&gt;0,E441,IF(ISBLANK(E441),IF(ISBLANK(E442),T(E441),"ERREUR"),"ERREUR"))</f>
        <v/>
      </c>
      <c r="O441" s="38" t="str">
        <f>IF(COUNTIF($W$4:$W$5,F441)&gt;0,F441,IF(ISBLANK(F441),IF(ISBLANK(F442),T(F441),"ERREUR"),"ERREUR"))</f>
        <v/>
      </c>
      <c r="P441" s="38" t="str">
        <f>IF(COUNTIF($X$4:$X$8,G441)&gt;0,G441,IF(ISBLANK(G441),IF(ISBLANK(G442),T(G441),"ERREUR"),"ERREUR"))</f>
        <v/>
      </c>
      <c r="Q441" s="38" t="str">
        <f>IF(ISNUMBER(H441),IF(INT(H441)=H441,H441,"ERREUR"),IF(ISBLANK(H441),IF(ISBLANK(H442),T(H441),"ERREUR"),"ERREUR"))</f>
        <v/>
      </c>
      <c r="R441" s="38"/>
      <c r="S441" s="38"/>
      <c r="T441" s="38"/>
      <c r="U441" s="38"/>
      <c r="V441" s="38"/>
      <c r="W441" s="38"/>
      <c r="X441" s="53"/>
      <c r="Y441" s="42"/>
      <c r="Z441" s="42"/>
      <c r="AA441" s="42"/>
    </row>
    <row r="442" ht="13.75" customHeight="1">
      <c r="A442" s="14" t="s">
        <v>140</v>
      </c>
      <c r="B442" s="50"/>
      <c r="C442" s="43"/>
      <c r="D442" s="43"/>
      <c r="E442" s="44"/>
      <c r="F442" s="44"/>
      <c r="G442" s="44"/>
      <c r="H442" s="45"/>
      <c r="I442" s="54"/>
      <c r="J442" s="47" t="str">
        <f>IF(OR(K442="ERREUR",L442="ERREUR",M442="ERREUR",N442="ERREUR",O442="ERREUR",P442="ERREUR",Q442="ERREUR"),"ERREUR",IF(AND(K442="",L442="",M442="",N442="",O442="",P442="",Q442=""),"ligne vide",IF(OR(K442="",L442="",M442="",N442="",O442="",P442="",Q442=""),"ligne incomplète","Valide")))</f>
        <v xml:space="preserve">ligne vide</v>
      </c>
      <c r="K442" s="48" t="str">
        <f>IF(ISBLANK(B442),IF(ISBLANK(B443),T(B442),"ERREUR"),IF(ISNUMBER(B442),_xlfn.NUMBERVALUE(B442),IF(ISTEXT(B442),VALUE(B442),"ERREUR")))</f>
        <v/>
      </c>
      <c r="L442" s="38" t="str">
        <f>IF(COUNTIF($R$4:$R$6,C442)&gt;0,C442,IF(ISBLANK(C442),IF(ISBLANK(D442),T(C442),"ERREUR"),"ERREUR"))</f>
        <v/>
      </c>
      <c r="M442" s="49" t="str">
        <f>IF(ISBLANK(D442),IF(ISBLANK(D443),T(D442),"ERREUR"),IF(COUNTIF($T$4:$T$240,SUBSTITUTE(SUBSTITUTE(SUBSTITUTE(SUBSTITUTE(SUBSTITUTE(SUBSTITUTE(UPPER(D442),"Å","A"),"É","E"),"È","E"),"Ê","E"),"Î","I"),"Ï","I"))&gt;0,D442,IF(ISBLANK(D442),T(D442),"ERREUR")))</f>
        <v/>
      </c>
      <c r="N442" s="38" t="str">
        <f>IF(COUNTIF($V$4:$V$6,E442)&gt;0,E442,IF(ISBLANK(E442),IF(ISBLANK(E443),T(E442),"ERREUR"),"ERREUR"))</f>
        <v/>
      </c>
      <c r="O442" s="38" t="str">
        <f>IF(COUNTIF($W$4:$W$5,F442)&gt;0,F442,IF(ISBLANK(F442),IF(ISBLANK(F443),T(F442),"ERREUR"),"ERREUR"))</f>
        <v/>
      </c>
      <c r="P442" s="38" t="str">
        <f>IF(COUNTIF($X$4:$X$8,G442)&gt;0,G442,IF(ISBLANK(G442),IF(ISBLANK(G443),T(G442),"ERREUR"),"ERREUR"))</f>
        <v/>
      </c>
      <c r="Q442" s="38" t="str">
        <f>IF(ISNUMBER(H442),IF(INT(H442)=H442,H442,"ERREUR"),IF(ISBLANK(H442),IF(ISBLANK(H443),T(H442),"ERREUR"),"ERREUR"))</f>
        <v/>
      </c>
      <c r="R442" s="38"/>
      <c r="S442" s="38"/>
      <c r="T442" s="38"/>
      <c r="U442" s="38"/>
      <c r="V442" s="38"/>
      <c r="W442" s="38"/>
      <c r="X442" s="53"/>
      <c r="Y442" s="42"/>
      <c r="Z442" s="42"/>
      <c r="AA442" s="42"/>
    </row>
    <row r="443" ht="13.75" customHeight="1">
      <c r="A443" s="14" t="s">
        <v>140</v>
      </c>
      <c r="B443" s="50"/>
      <c r="C443" s="43"/>
      <c r="D443" s="43"/>
      <c r="E443" s="44"/>
      <c r="F443" s="44"/>
      <c r="G443" s="44"/>
      <c r="H443" s="45"/>
      <c r="I443" s="54"/>
      <c r="J443" s="47" t="str">
        <f>IF(OR(K443="ERREUR",L443="ERREUR",M443="ERREUR",N443="ERREUR",O443="ERREUR",P443="ERREUR",Q443="ERREUR"),"ERREUR",IF(AND(K443="",L443="",M443="",N443="",O443="",P443="",Q443=""),"ligne vide",IF(OR(K443="",L443="",M443="",N443="",O443="",P443="",Q443=""),"ligne incomplète","Valide")))</f>
        <v xml:space="preserve">ligne vide</v>
      </c>
      <c r="K443" s="48" t="str">
        <f>IF(ISBLANK(B443),IF(ISBLANK(B444),T(B443),"ERREUR"),IF(ISNUMBER(B443),_xlfn.NUMBERVALUE(B443),IF(ISTEXT(B443),VALUE(B443),"ERREUR")))</f>
        <v/>
      </c>
      <c r="L443" s="38" t="str">
        <f>IF(COUNTIF($R$4:$R$6,C443)&gt;0,C443,IF(ISBLANK(C443),IF(ISBLANK(D443),T(C443),"ERREUR"),"ERREUR"))</f>
        <v/>
      </c>
      <c r="M443" s="49" t="str">
        <f>IF(ISBLANK(D443),IF(ISBLANK(D444),T(D443),"ERREUR"),IF(COUNTIF($T$4:$T$240,SUBSTITUTE(SUBSTITUTE(SUBSTITUTE(SUBSTITUTE(SUBSTITUTE(SUBSTITUTE(UPPER(D443),"Å","A"),"É","E"),"È","E"),"Ê","E"),"Î","I"),"Ï","I"))&gt;0,D443,IF(ISBLANK(D443),T(D443),"ERREUR")))</f>
        <v/>
      </c>
      <c r="N443" s="38" t="str">
        <f>IF(COUNTIF($V$4:$V$6,E443)&gt;0,E443,IF(ISBLANK(E443),IF(ISBLANK(E444),T(E443),"ERREUR"),"ERREUR"))</f>
        <v/>
      </c>
      <c r="O443" s="38" t="str">
        <f>IF(COUNTIF($W$4:$W$5,F443)&gt;0,F443,IF(ISBLANK(F443),IF(ISBLANK(F444),T(F443),"ERREUR"),"ERREUR"))</f>
        <v/>
      </c>
      <c r="P443" s="38" t="str">
        <f>IF(COUNTIF($X$4:$X$8,G443)&gt;0,G443,IF(ISBLANK(G443),IF(ISBLANK(G444),T(G443),"ERREUR"),"ERREUR"))</f>
        <v/>
      </c>
      <c r="Q443" s="38" t="str">
        <f>IF(ISNUMBER(H443),IF(INT(H443)=H443,H443,"ERREUR"),IF(ISBLANK(H443),IF(ISBLANK(H444),T(H443),"ERREUR"),"ERREUR"))</f>
        <v/>
      </c>
      <c r="R443" s="38"/>
      <c r="S443" s="38"/>
      <c r="T443" s="38"/>
      <c r="U443" s="38"/>
      <c r="V443" s="38"/>
      <c r="W443" s="38"/>
      <c r="X443" s="53"/>
      <c r="Y443" s="42"/>
      <c r="Z443" s="42"/>
      <c r="AA443" s="42"/>
    </row>
    <row r="444" ht="13.75" customHeight="1">
      <c r="A444" s="14" t="s">
        <v>140</v>
      </c>
      <c r="B444" s="50"/>
      <c r="C444" s="43"/>
      <c r="D444" s="43"/>
      <c r="E444" s="44"/>
      <c r="F444" s="44"/>
      <c r="G444" s="44"/>
      <c r="H444" s="45"/>
      <c r="I444" s="54"/>
      <c r="J444" s="47" t="str">
        <f>IF(OR(K444="ERREUR",L444="ERREUR",M444="ERREUR",N444="ERREUR",O444="ERREUR",P444="ERREUR",Q444="ERREUR"),"ERREUR",IF(AND(K444="",L444="",M444="",N444="",O444="",P444="",Q444=""),"ligne vide",IF(OR(K444="",L444="",M444="",N444="",O444="",P444="",Q444=""),"ligne incomplète","Valide")))</f>
        <v xml:space="preserve">ligne vide</v>
      </c>
      <c r="K444" s="48" t="str">
        <f>IF(ISBLANK(B444),IF(ISBLANK(B445),T(B444),"ERREUR"),IF(ISNUMBER(B444),_xlfn.NUMBERVALUE(B444),IF(ISTEXT(B444),VALUE(B444),"ERREUR")))</f>
        <v/>
      </c>
      <c r="L444" s="38" t="str">
        <f>IF(COUNTIF($R$4:$R$6,C444)&gt;0,C444,IF(ISBLANK(C444),IF(ISBLANK(D444),T(C444),"ERREUR"),"ERREUR"))</f>
        <v/>
      </c>
      <c r="M444" s="49" t="str">
        <f>IF(ISBLANK(D444),IF(ISBLANK(D445),T(D444),"ERREUR"),IF(COUNTIF($T$4:$T$240,SUBSTITUTE(SUBSTITUTE(SUBSTITUTE(SUBSTITUTE(SUBSTITUTE(SUBSTITUTE(UPPER(D444),"Å","A"),"É","E"),"È","E"),"Ê","E"),"Î","I"),"Ï","I"))&gt;0,D444,IF(ISBLANK(D444),T(D444),"ERREUR")))</f>
        <v/>
      </c>
      <c r="N444" s="38" t="str">
        <f>IF(COUNTIF($V$4:$V$6,E444)&gt;0,E444,IF(ISBLANK(E444),IF(ISBLANK(E445),T(E444),"ERREUR"),"ERREUR"))</f>
        <v/>
      </c>
      <c r="O444" s="38" t="str">
        <f>IF(COUNTIF($W$4:$W$5,F444)&gt;0,F444,IF(ISBLANK(F444),IF(ISBLANK(F445),T(F444),"ERREUR"),"ERREUR"))</f>
        <v/>
      </c>
      <c r="P444" s="38" t="str">
        <f>IF(COUNTIF($X$4:$X$8,G444)&gt;0,G444,IF(ISBLANK(G444),IF(ISBLANK(G445),T(G444),"ERREUR"),"ERREUR"))</f>
        <v/>
      </c>
      <c r="Q444" s="38" t="str">
        <f>IF(ISNUMBER(H444),IF(INT(H444)=H444,H444,"ERREUR"),IF(ISBLANK(H444),IF(ISBLANK(H445),T(H444),"ERREUR"),"ERREUR"))</f>
        <v/>
      </c>
      <c r="R444" s="38"/>
      <c r="S444" s="38"/>
      <c r="T444" s="38"/>
      <c r="U444" s="38"/>
      <c r="V444" s="38"/>
      <c r="W444" s="38"/>
      <c r="X444" s="53"/>
      <c r="Y444" s="42"/>
      <c r="Z444" s="42"/>
      <c r="AA444" s="42"/>
    </row>
    <row r="445" ht="13.75" customHeight="1">
      <c r="A445" s="14" t="s">
        <v>140</v>
      </c>
      <c r="B445" s="50"/>
      <c r="C445" s="43"/>
      <c r="D445" s="43"/>
      <c r="E445" s="44"/>
      <c r="F445" s="44"/>
      <c r="G445" s="44"/>
      <c r="H445" s="45"/>
      <c r="I445" s="54"/>
      <c r="J445" s="47" t="str">
        <f>IF(OR(K445="ERREUR",L445="ERREUR",M445="ERREUR",N445="ERREUR",O445="ERREUR",P445="ERREUR",Q445="ERREUR"),"ERREUR",IF(AND(K445="",L445="",M445="",N445="",O445="",P445="",Q445=""),"ligne vide",IF(OR(K445="",L445="",M445="",N445="",O445="",P445="",Q445=""),"ligne incomplète","Valide")))</f>
        <v xml:space="preserve">ligne vide</v>
      </c>
      <c r="K445" s="48" t="str">
        <f>IF(ISBLANK(B445),IF(ISBLANK(B446),T(B445),"ERREUR"),IF(ISNUMBER(B445),_xlfn.NUMBERVALUE(B445),IF(ISTEXT(B445),VALUE(B445),"ERREUR")))</f>
        <v/>
      </c>
      <c r="L445" s="38" t="str">
        <f>IF(COUNTIF($R$4:$R$6,C445)&gt;0,C445,IF(ISBLANK(C445),IF(ISBLANK(D445),T(C445),"ERREUR"),"ERREUR"))</f>
        <v/>
      </c>
      <c r="M445" s="49" t="str">
        <f>IF(ISBLANK(D445),IF(ISBLANK(D446),T(D445),"ERREUR"),IF(COUNTIF($T$4:$T$240,SUBSTITUTE(SUBSTITUTE(SUBSTITUTE(SUBSTITUTE(SUBSTITUTE(SUBSTITUTE(UPPER(D445),"Å","A"),"É","E"),"È","E"),"Ê","E"),"Î","I"),"Ï","I"))&gt;0,D445,IF(ISBLANK(D445),T(D445),"ERREUR")))</f>
        <v/>
      </c>
      <c r="N445" s="38" t="str">
        <f>IF(COUNTIF($V$4:$V$6,E445)&gt;0,E445,IF(ISBLANK(E445),IF(ISBLANK(E446),T(E445),"ERREUR"),"ERREUR"))</f>
        <v/>
      </c>
      <c r="O445" s="38" t="str">
        <f>IF(COUNTIF($W$4:$W$5,F445)&gt;0,F445,IF(ISBLANK(F445),IF(ISBLANK(F446),T(F445),"ERREUR"),"ERREUR"))</f>
        <v/>
      </c>
      <c r="P445" s="38" t="str">
        <f>IF(COUNTIF($X$4:$X$8,G445)&gt;0,G445,IF(ISBLANK(G445),IF(ISBLANK(G446),T(G445),"ERREUR"),"ERREUR"))</f>
        <v/>
      </c>
      <c r="Q445" s="38" t="str">
        <f>IF(ISNUMBER(H445),IF(INT(H445)=H445,H445,"ERREUR"),IF(ISBLANK(H445),IF(ISBLANK(H446),T(H445),"ERREUR"),"ERREUR"))</f>
        <v/>
      </c>
      <c r="R445" s="38"/>
      <c r="S445" s="38"/>
      <c r="T445" s="38"/>
      <c r="U445" s="38"/>
      <c r="V445" s="38"/>
      <c r="W445" s="38"/>
      <c r="X445" s="53"/>
      <c r="Y445" s="42"/>
      <c r="Z445" s="42"/>
      <c r="AA445" s="42"/>
    </row>
    <row r="446" ht="13.75" customHeight="1">
      <c r="A446" s="14" t="s">
        <v>140</v>
      </c>
      <c r="B446" s="50"/>
      <c r="C446" s="43"/>
      <c r="D446" s="43"/>
      <c r="E446" s="44"/>
      <c r="F446" s="44"/>
      <c r="G446" s="44"/>
      <c r="H446" s="45"/>
      <c r="I446" s="54"/>
      <c r="J446" s="47" t="str">
        <f>IF(OR(K446="ERREUR",L446="ERREUR",M446="ERREUR",N446="ERREUR",O446="ERREUR",P446="ERREUR",Q446="ERREUR"),"ERREUR",IF(AND(K446="",L446="",M446="",N446="",O446="",P446="",Q446=""),"ligne vide",IF(OR(K446="",L446="",M446="",N446="",O446="",P446="",Q446=""),"ligne incomplète","Valide")))</f>
        <v xml:space="preserve">ligne vide</v>
      </c>
      <c r="K446" s="48" t="str">
        <f>IF(ISBLANK(B446),IF(ISBLANK(B447),T(B446),"ERREUR"),IF(ISNUMBER(B446),_xlfn.NUMBERVALUE(B446),IF(ISTEXT(B446),VALUE(B446),"ERREUR")))</f>
        <v/>
      </c>
      <c r="L446" s="38" t="str">
        <f>IF(COUNTIF($R$4:$R$6,C446)&gt;0,C446,IF(ISBLANK(C446),IF(ISBLANK(D446),T(C446),"ERREUR"),"ERREUR"))</f>
        <v/>
      </c>
      <c r="M446" s="49" t="str">
        <f>IF(ISBLANK(D446),IF(ISBLANK(D447),T(D446),"ERREUR"),IF(COUNTIF($T$4:$T$240,SUBSTITUTE(SUBSTITUTE(SUBSTITUTE(SUBSTITUTE(SUBSTITUTE(SUBSTITUTE(UPPER(D446),"Å","A"),"É","E"),"È","E"),"Ê","E"),"Î","I"),"Ï","I"))&gt;0,D446,IF(ISBLANK(D446),T(D446),"ERREUR")))</f>
        <v/>
      </c>
      <c r="N446" s="38" t="str">
        <f>IF(COUNTIF($V$4:$V$6,E446)&gt;0,E446,IF(ISBLANK(E446),IF(ISBLANK(E447),T(E446),"ERREUR"),"ERREUR"))</f>
        <v/>
      </c>
      <c r="O446" s="38" t="str">
        <f>IF(COUNTIF($W$4:$W$5,F446)&gt;0,F446,IF(ISBLANK(F446),IF(ISBLANK(F447),T(F446),"ERREUR"),"ERREUR"))</f>
        <v/>
      </c>
      <c r="P446" s="38" t="str">
        <f>IF(COUNTIF($X$4:$X$8,G446)&gt;0,G446,IF(ISBLANK(G446),IF(ISBLANK(G447),T(G446),"ERREUR"),"ERREUR"))</f>
        <v/>
      </c>
      <c r="Q446" s="38" t="str">
        <f>IF(ISNUMBER(H446),IF(INT(H446)=H446,H446,"ERREUR"),IF(ISBLANK(H446),IF(ISBLANK(H447),T(H446),"ERREUR"),"ERREUR"))</f>
        <v/>
      </c>
      <c r="R446" s="38"/>
      <c r="S446" s="38"/>
      <c r="T446" s="38"/>
      <c r="U446" s="38"/>
      <c r="V446" s="38"/>
      <c r="W446" s="38"/>
      <c r="X446" s="53"/>
      <c r="Y446" s="42"/>
      <c r="Z446" s="42"/>
      <c r="AA446" s="42"/>
    </row>
    <row r="447" ht="13.75" customHeight="1">
      <c r="A447" s="14" t="s">
        <v>140</v>
      </c>
      <c r="B447" s="50"/>
      <c r="C447" s="43"/>
      <c r="D447" s="43"/>
      <c r="E447" s="44"/>
      <c r="F447" s="44"/>
      <c r="G447" s="44"/>
      <c r="H447" s="45"/>
      <c r="I447" s="54"/>
      <c r="J447" s="47" t="str">
        <f>IF(OR(K447="ERREUR",L447="ERREUR",M447="ERREUR",N447="ERREUR",O447="ERREUR",P447="ERREUR",Q447="ERREUR"),"ERREUR",IF(AND(K447="",L447="",M447="",N447="",O447="",P447="",Q447=""),"ligne vide",IF(OR(K447="",L447="",M447="",N447="",O447="",P447="",Q447=""),"ligne incomplète","Valide")))</f>
        <v xml:space="preserve">ligne vide</v>
      </c>
      <c r="K447" s="48" t="str">
        <f>IF(ISBLANK(B447),IF(ISBLANK(B448),T(B447),"ERREUR"),IF(ISNUMBER(B447),_xlfn.NUMBERVALUE(B447),IF(ISTEXT(B447),VALUE(B447),"ERREUR")))</f>
        <v/>
      </c>
      <c r="L447" s="38" t="str">
        <f>IF(COUNTIF($R$4:$R$6,C447)&gt;0,C447,IF(ISBLANK(C447),IF(ISBLANK(D447),T(C447),"ERREUR"),"ERREUR"))</f>
        <v/>
      </c>
      <c r="M447" s="49" t="str">
        <f>IF(ISBLANK(D447),IF(ISBLANK(D448),T(D447),"ERREUR"),IF(COUNTIF($T$4:$T$240,SUBSTITUTE(SUBSTITUTE(SUBSTITUTE(SUBSTITUTE(SUBSTITUTE(SUBSTITUTE(UPPER(D447),"Å","A"),"É","E"),"È","E"),"Ê","E"),"Î","I"),"Ï","I"))&gt;0,D447,IF(ISBLANK(D447),T(D447),"ERREUR")))</f>
        <v/>
      </c>
      <c r="N447" s="38" t="str">
        <f>IF(COUNTIF($V$4:$V$6,E447)&gt;0,E447,IF(ISBLANK(E447),IF(ISBLANK(E448),T(E447),"ERREUR"),"ERREUR"))</f>
        <v/>
      </c>
      <c r="O447" s="38" t="str">
        <f>IF(COUNTIF($W$4:$W$5,F447)&gt;0,F447,IF(ISBLANK(F447),IF(ISBLANK(F448),T(F447),"ERREUR"),"ERREUR"))</f>
        <v/>
      </c>
      <c r="P447" s="38" t="str">
        <f>IF(COUNTIF($X$4:$X$8,G447)&gt;0,G447,IF(ISBLANK(G447),IF(ISBLANK(G448),T(G447),"ERREUR"),"ERREUR"))</f>
        <v/>
      </c>
      <c r="Q447" s="38" t="str">
        <f>IF(ISNUMBER(H447),IF(INT(H447)=H447,H447,"ERREUR"),IF(ISBLANK(H447),IF(ISBLANK(H448),T(H447),"ERREUR"),"ERREUR"))</f>
        <v/>
      </c>
      <c r="R447" s="38"/>
      <c r="S447" s="38"/>
      <c r="T447" s="38"/>
      <c r="U447" s="38"/>
      <c r="V447" s="38"/>
      <c r="W447" s="38"/>
      <c r="X447" s="53"/>
      <c r="Y447" s="42"/>
      <c r="Z447" s="42"/>
      <c r="AA447" s="42"/>
    </row>
    <row r="448" ht="13.75" customHeight="1">
      <c r="A448" s="14" t="s">
        <v>140</v>
      </c>
      <c r="B448" s="50"/>
      <c r="C448" s="43"/>
      <c r="D448" s="43"/>
      <c r="E448" s="44"/>
      <c r="F448" s="44"/>
      <c r="G448" s="44"/>
      <c r="H448" s="45"/>
      <c r="I448" s="54"/>
      <c r="J448" s="47" t="str">
        <f>IF(OR(K448="ERREUR",L448="ERREUR",M448="ERREUR",N448="ERREUR",O448="ERREUR",P448="ERREUR",Q448="ERREUR"),"ERREUR",IF(AND(K448="",L448="",M448="",N448="",O448="",P448="",Q448=""),"ligne vide",IF(OR(K448="",L448="",M448="",N448="",O448="",P448="",Q448=""),"ligne incomplète","Valide")))</f>
        <v xml:space="preserve">ligne vide</v>
      </c>
      <c r="K448" s="48" t="str">
        <f>IF(ISBLANK(B448),IF(ISBLANK(B449),T(B448),"ERREUR"),IF(ISNUMBER(B448),_xlfn.NUMBERVALUE(B448),IF(ISTEXT(B448),VALUE(B448),"ERREUR")))</f>
        <v/>
      </c>
      <c r="L448" s="38" t="str">
        <f>IF(COUNTIF($R$4:$R$6,C448)&gt;0,C448,IF(ISBLANK(C448),IF(ISBLANK(D448),T(C448),"ERREUR"),"ERREUR"))</f>
        <v/>
      </c>
      <c r="M448" s="49" t="str">
        <f>IF(ISBLANK(D448),IF(ISBLANK(D449),T(D448),"ERREUR"),IF(COUNTIF($T$4:$T$240,SUBSTITUTE(SUBSTITUTE(SUBSTITUTE(SUBSTITUTE(SUBSTITUTE(SUBSTITUTE(UPPER(D448),"Å","A"),"É","E"),"È","E"),"Ê","E"),"Î","I"),"Ï","I"))&gt;0,D448,IF(ISBLANK(D448),T(D448),"ERREUR")))</f>
        <v/>
      </c>
      <c r="N448" s="38" t="str">
        <f>IF(COUNTIF($V$4:$V$6,E448)&gt;0,E448,IF(ISBLANK(E448),IF(ISBLANK(E449),T(E448),"ERREUR"),"ERREUR"))</f>
        <v/>
      </c>
      <c r="O448" s="38" t="str">
        <f>IF(COUNTIF($W$4:$W$5,F448)&gt;0,F448,IF(ISBLANK(F448),IF(ISBLANK(F449),T(F448),"ERREUR"),"ERREUR"))</f>
        <v/>
      </c>
      <c r="P448" s="38" t="str">
        <f>IF(COUNTIF($X$4:$X$8,G448)&gt;0,G448,IF(ISBLANK(G448),IF(ISBLANK(G449),T(G448),"ERREUR"),"ERREUR"))</f>
        <v/>
      </c>
      <c r="Q448" s="38" t="str">
        <f>IF(ISNUMBER(H448),IF(INT(H448)=H448,H448,"ERREUR"),IF(ISBLANK(H448),IF(ISBLANK(H449),T(H448),"ERREUR"),"ERREUR"))</f>
        <v/>
      </c>
      <c r="R448" s="38"/>
      <c r="S448" s="38"/>
      <c r="T448" s="38"/>
      <c r="U448" s="38"/>
      <c r="V448" s="38"/>
      <c r="W448" s="38"/>
      <c r="X448" s="53"/>
      <c r="Y448" s="42"/>
      <c r="Z448" s="42"/>
      <c r="AA448" s="42"/>
    </row>
    <row r="449" ht="13.75" customHeight="1">
      <c r="A449" s="14" t="s">
        <v>140</v>
      </c>
      <c r="B449" s="50"/>
      <c r="C449" s="43"/>
      <c r="D449" s="43"/>
      <c r="E449" s="44"/>
      <c r="F449" s="44"/>
      <c r="G449" s="44"/>
      <c r="H449" s="45"/>
      <c r="I449" s="54"/>
      <c r="J449" s="47" t="str">
        <f>IF(OR(K449="ERREUR",L449="ERREUR",M449="ERREUR",N449="ERREUR",O449="ERREUR",P449="ERREUR",Q449="ERREUR"),"ERREUR",IF(AND(K449="",L449="",M449="",N449="",O449="",P449="",Q449=""),"ligne vide",IF(OR(K449="",L449="",M449="",N449="",O449="",P449="",Q449=""),"ligne incomplète","Valide")))</f>
        <v xml:space="preserve">ligne vide</v>
      </c>
      <c r="K449" s="48" t="str">
        <f>IF(ISBLANK(B449),IF(ISBLANK(B450),T(B449),"ERREUR"),IF(ISNUMBER(B449),_xlfn.NUMBERVALUE(B449),IF(ISTEXT(B449),VALUE(B449),"ERREUR")))</f>
        <v/>
      </c>
      <c r="L449" s="38" t="str">
        <f>IF(COUNTIF($R$4:$R$6,C449)&gt;0,C449,IF(ISBLANK(C449),IF(ISBLANK(D449),T(C449),"ERREUR"),"ERREUR"))</f>
        <v/>
      </c>
      <c r="M449" s="49" t="str">
        <f>IF(ISBLANK(D449),IF(ISBLANK(D450),T(D449),"ERREUR"),IF(COUNTIF($T$4:$T$240,SUBSTITUTE(SUBSTITUTE(SUBSTITUTE(SUBSTITUTE(SUBSTITUTE(SUBSTITUTE(UPPER(D449),"Å","A"),"É","E"),"È","E"),"Ê","E"),"Î","I"),"Ï","I"))&gt;0,D449,IF(ISBLANK(D449),T(D449),"ERREUR")))</f>
        <v/>
      </c>
      <c r="N449" s="38" t="str">
        <f>IF(COUNTIF($V$4:$V$6,E449)&gt;0,E449,IF(ISBLANK(E449),IF(ISBLANK(E450),T(E449),"ERREUR"),"ERREUR"))</f>
        <v/>
      </c>
      <c r="O449" s="38" t="str">
        <f>IF(COUNTIF($W$4:$W$5,F449)&gt;0,F449,IF(ISBLANK(F449),IF(ISBLANK(F450),T(F449),"ERREUR"),"ERREUR"))</f>
        <v/>
      </c>
      <c r="P449" s="38" t="str">
        <f>IF(COUNTIF($X$4:$X$8,G449)&gt;0,G449,IF(ISBLANK(G449),IF(ISBLANK(G450),T(G449),"ERREUR"),"ERREUR"))</f>
        <v/>
      </c>
      <c r="Q449" s="38" t="str">
        <f>IF(ISNUMBER(H449),IF(INT(H449)=H449,H449,"ERREUR"),IF(ISBLANK(H449),IF(ISBLANK(H450),T(H449),"ERREUR"),"ERREUR"))</f>
        <v/>
      </c>
      <c r="R449" s="38"/>
      <c r="S449" s="38"/>
      <c r="T449" s="38"/>
      <c r="U449" s="38"/>
      <c r="V449" s="38"/>
      <c r="W449" s="38"/>
      <c r="X449" s="53"/>
      <c r="Y449" s="42"/>
      <c r="Z449" s="42"/>
      <c r="AA449" s="42"/>
    </row>
    <row r="450" ht="13.75" customHeight="1">
      <c r="A450" s="14" t="s">
        <v>140</v>
      </c>
      <c r="B450" s="50"/>
      <c r="C450" s="43"/>
      <c r="D450" s="43"/>
      <c r="E450" s="44"/>
      <c r="F450" s="44"/>
      <c r="G450" s="44"/>
      <c r="H450" s="45"/>
      <c r="I450" s="54"/>
      <c r="J450" s="47" t="str">
        <f>IF(OR(K450="ERREUR",L450="ERREUR",M450="ERREUR",N450="ERREUR",O450="ERREUR",P450="ERREUR",Q450="ERREUR"),"ERREUR",IF(AND(K450="",L450="",M450="",N450="",O450="",P450="",Q450=""),"ligne vide",IF(OR(K450="",L450="",M450="",N450="",O450="",P450="",Q450=""),"ligne incomplète","Valide")))</f>
        <v xml:space="preserve">ligne vide</v>
      </c>
      <c r="K450" s="48" t="str">
        <f>IF(ISBLANK(B450),IF(ISBLANK(B451),T(B450),"ERREUR"),IF(ISNUMBER(B450),_xlfn.NUMBERVALUE(B450),IF(ISTEXT(B450),VALUE(B450),"ERREUR")))</f>
        <v/>
      </c>
      <c r="L450" s="38" t="str">
        <f>IF(COUNTIF($R$4:$R$6,C450)&gt;0,C450,IF(ISBLANK(C450),IF(ISBLANK(D450),T(C450),"ERREUR"),"ERREUR"))</f>
        <v/>
      </c>
      <c r="M450" s="49" t="str">
        <f>IF(ISBLANK(D450),IF(ISBLANK(D451),T(D450),"ERREUR"),IF(COUNTIF($T$4:$T$240,SUBSTITUTE(SUBSTITUTE(SUBSTITUTE(SUBSTITUTE(SUBSTITUTE(SUBSTITUTE(UPPER(D450),"Å","A"),"É","E"),"È","E"),"Ê","E"),"Î","I"),"Ï","I"))&gt;0,D450,IF(ISBLANK(D450),T(D450),"ERREUR")))</f>
        <v/>
      </c>
      <c r="N450" s="38" t="str">
        <f>IF(COUNTIF($V$4:$V$6,E450)&gt;0,E450,IF(ISBLANK(E450),IF(ISBLANK(E451),T(E450),"ERREUR"),"ERREUR"))</f>
        <v/>
      </c>
      <c r="O450" s="38" t="str">
        <f>IF(COUNTIF($W$4:$W$5,F450)&gt;0,F450,IF(ISBLANK(F450),IF(ISBLANK(F451),T(F450),"ERREUR"),"ERREUR"))</f>
        <v/>
      </c>
      <c r="P450" s="38" t="str">
        <f>IF(COUNTIF($X$4:$X$8,G450)&gt;0,G450,IF(ISBLANK(G450),IF(ISBLANK(G451),T(G450),"ERREUR"),"ERREUR"))</f>
        <v/>
      </c>
      <c r="Q450" s="38" t="str">
        <f>IF(ISNUMBER(H450),IF(INT(H450)=H450,H450,"ERREUR"),IF(ISBLANK(H450),IF(ISBLANK(H451),T(H450),"ERREUR"),"ERREUR"))</f>
        <v/>
      </c>
      <c r="R450" s="38"/>
      <c r="S450" s="38"/>
      <c r="T450" s="38"/>
      <c r="U450" s="38"/>
      <c r="V450" s="38"/>
      <c r="W450" s="38"/>
      <c r="X450" s="53"/>
      <c r="Y450" s="42"/>
      <c r="Z450" s="42"/>
      <c r="AA450" s="42"/>
    </row>
    <row r="451" ht="13.75" customHeight="1">
      <c r="A451" s="14" t="s">
        <v>140</v>
      </c>
      <c r="B451" s="50"/>
      <c r="C451" s="43"/>
      <c r="D451" s="43"/>
      <c r="E451" s="44"/>
      <c r="F451" s="44"/>
      <c r="G451" s="44"/>
      <c r="H451" s="45"/>
      <c r="I451" s="54"/>
      <c r="J451" s="47" t="str">
        <f>IF(OR(K451="ERREUR",L451="ERREUR",M451="ERREUR",N451="ERREUR",O451="ERREUR",P451="ERREUR",Q451="ERREUR"),"ERREUR",IF(AND(K451="",L451="",M451="",N451="",O451="",P451="",Q451=""),"ligne vide",IF(OR(K451="",L451="",M451="",N451="",O451="",P451="",Q451=""),"ligne incomplète","Valide")))</f>
        <v xml:space="preserve">ligne vide</v>
      </c>
      <c r="K451" s="48" t="str">
        <f>IF(ISBLANK(B451),IF(ISBLANK(B452),T(B451),"ERREUR"),IF(ISNUMBER(B451),_xlfn.NUMBERVALUE(B451),IF(ISTEXT(B451),VALUE(B451),"ERREUR")))</f>
        <v/>
      </c>
      <c r="L451" s="38" t="str">
        <f>IF(COUNTIF($R$4:$R$6,C451)&gt;0,C451,IF(ISBLANK(C451),IF(ISBLANK(D451),T(C451),"ERREUR"),"ERREUR"))</f>
        <v/>
      </c>
      <c r="M451" s="49" t="str">
        <f>IF(ISBLANK(D451),IF(ISBLANK(D452),T(D451),"ERREUR"),IF(COUNTIF($T$4:$T$240,SUBSTITUTE(SUBSTITUTE(SUBSTITUTE(SUBSTITUTE(SUBSTITUTE(SUBSTITUTE(UPPER(D451),"Å","A"),"É","E"),"È","E"),"Ê","E"),"Î","I"),"Ï","I"))&gt;0,D451,IF(ISBLANK(D451),T(D451),"ERREUR")))</f>
        <v/>
      </c>
      <c r="N451" s="38" t="str">
        <f>IF(COUNTIF($V$4:$V$6,E451)&gt;0,E451,IF(ISBLANK(E451),IF(ISBLANK(E452),T(E451),"ERREUR"),"ERREUR"))</f>
        <v/>
      </c>
      <c r="O451" s="38" t="str">
        <f>IF(COUNTIF($W$4:$W$5,F451)&gt;0,F451,IF(ISBLANK(F451),IF(ISBLANK(F452),T(F451),"ERREUR"),"ERREUR"))</f>
        <v/>
      </c>
      <c r="P451" s="38" t="str">
        <f>IF(COUNTIF($X$4:$X$8,G451)&gt;0,G451,IF(ISBLANK(G451),IF(ISBLANK(G452),T(G451),"ERREUR"),"ERREUR"))</f>
        <v/>
      </c>
      <c r="Q451" s="38" t="str">
        <f>IF(ISNUMBER(H451),IF(INT(H451)=H451,H451,"ERREUR"),IF(ISBLANK(H451),IF(ISBLANK(H452),T(H451),"ERREUR"),"ERREUR"))</f>
        <v/>
      </c>
      <c r="R451" s="38"/>
      <c r="S451" s="38"/>
      <c r="T451" s="38"/>
      <c r="U451" s="38"/>
      <c r="V451" s="38"/>
      <c r="W451" s="38"/>
      <c r="X451" s="53"/>
      <c r="Y451" s="42"/>
      <c r="Z451" s="42"/>
      <c r="AA451" s="42"/>
    </row>
    <row r="452" ht="13.75" customHeight="1">
      <c r="A452" s="14" t="s">
        <v>140</v>
      </c>
      <c r="B452" s="50"/>
      <c r="C452" s="43"/>
      <c r="D452" s="43"/>
      <c r="E452" s="44"/>
      <c r="F452" s="44"/>
      <c r="G452" s="44"/>
      <c r="H452" s="45"/>
      <c r="I452" s="54"/>
      <c r="J452" s="47" t="str">
        <f>IF(OR(K452="ERREUR",L452="ERREUR",M452="ERREUR",N452="ERREUR",O452="ERREUR",P452="ERREUR",Q452="ERREUR"),"ERREUR",IF(AND(K452="",L452="",M452="",N452="",O452="",P452="",Q452=""),"ligne vide",IF(OR(K452="",L452="",M452="",N452="",O452="",P452="",Q452=""),"ligne incomplète","Valide")))</f>
        <v xml:space="preserve">ligne vide</v>
      </c>
      <c r="K452" s="48" t="str">
        <f>IF(ISBLANK(B452),IF(ISBLANK(B453),T(B452),"ERREUR"),IF(ISNUMBER(B452),_xlfn.NUMBERVALUE(B452),IF(ISTEXT(B452),VALUE(B452),"ERREUR")))</f>
        <v/>
      </c>
      <c r="L452" s="38" t="str">
        <f>IF(COUNTIF($R$4:$R$6,C452)&gt;0,C452,IF(ISBLANK(C452),IF(ISBLANK(D452),T(C452),"ERREUR"),"ERREUR"))</f>
        <v/>
      </c>
      <c r="M452" s="49" t="str">
        <f>IF(ISBLANK(D452),IF(ISBLANK(D453),T(D452),"ERREUR"),IF(COUNTIF($T$4:$T$240,SUBSTITUTE(SUBSTITUTE(SUBSTITUTE(SUBSTITUTE(SUBSTITUTE(SUBSTITUTE(UPPER(D452),"Å","A"),"É","E"),"È","E"),"Ê","E"),"Î","I"),"Ï","I"))&gt;0,D452,IF(ISBLANK(D452),T(D452),"ERREUR")))</f>
        <v/>
      </c>
      <c r="N452" s="38" t="str">
        <f>IF(COUNTIF($V$4:$V$6,E452)&gt;0,E452,IF(ISBLANK(E452),IF(ISBLANK(E453),T(E452),"ERREUR"),"ERREUR"))</f>
        <v/>
      </c>
      <c r="O452" s="38" t="str">
        <f>IF(COUNTIF($W$4:$W$5,F452)&gt;0,F452,IF(ISBLANK(F452),IF(ISBLANK(F453),T(F452),"ERREUR"),"ERREUR"))</f>
        <v/>
      </c>
      <c r="P452" s="38" t="str">
        <f>IF(COUNTIF($X$4:$X$8,G452)&gt;0,G452,IF(ISBLANK(G452),IF(ISBLANK(G453),T(G452),"ERREUR"),"ERREUR"))</f>
        <v/>
      </c>
      <c r="Q452" s="38" t="str">
        <f>IF(ISNUMBER(H452),IF(INT(H452)=H452,H452,"ERREUR"),IF(ISBLANK(H452),IF(ISBLANK(H453),T(H452),"ERREUR"),"ERREUR"))</f>
        <v/>
      </c>
      <c r="R452" s="38"/>
      <c r="S452" s="38"/>
      <c r="T452" s="38"/>
      <c r="U452" s="38"/>
      <c r="V452" s="38"/>
      <c r="W452" s="38"/>
      <c r="X452" s="53"/>
      <c r="Y452" s="42"/>
      <c r="Z452" s="42"/>
      <c r="AA452" s="42"/>
    </row>
    <row r="453" ht="13.75" customHeight="1">
      <c r="A453" s="14" t="s">
        <v>140</v>
      </c>
      <c r="B453" s="50"/>
      <c r="C453" s="43"/>
      <c r="D453" s="43"/>
      <c r="E453" s="44"/>
      <c r="F453" s="44"/>
      <c r="G453" s="44"/>
      <c r="H453" s="45"/>
      <c r="I453" s="54"/>
      <c r="J453" s="47" t="str">
        <f>IF(OR(K453="ERREUR",L453="ERREUR",M453="ERREUR",N453="ERREUR",O453="ERREUR",P453="ERREUR",Q453="ERREUR"),"ERREUR",IF(AND(K453="",L453="",M453="",N453="",O453="",P453="",Q453=""),"ligne vide",IF(OR(K453="",L453="",M453="",N453="",O453="",P453="",Q453=""),"ligne incomplète","Valide")))</f>
        <v xml:space="preserve">ligne vide</v>
      </c>
      <c r="K453" s="48" t="str">
        <f>IF(ISBLANK(B453),IF(ISBLANK(B454),T(B453),"ERREUR"),IF(ISNUMBER(B453),_xlfn.NUMBERVALUE(B453),IF(ISTEXT(B453),VALUE(B453),"ERREUR")))</f>
        <v/>
      </c>
      <c r="L453" s="38" t="str">
        <f>IF(COUNTIF($R$4:$R$6,C453)&gt;0,C453,IF(ISBLANK(C453),IF(ISBLANK(D453),T(C453),"ERREUR"),"ERREUR"))</f>
        <v/>
      </c>
      <c r="M453" s="49" t="str">
        <f>IF(ISBLANK(D453),IF(ISBLANK(D454),T(D453),"ERREUR"),IF(COUNTIF($T$4:$T$240,SUBSTITUTE(SUBSTITUTE(SUBSTITUTE(SUBSTITUTE(SUBSTITUTE(SUBSTITUTE(UPPER(D453),"Å","A"),"É","E"),"È","E"),"Ê","E"),"Î","I"),"Ï","I"))&gt;0,D453,IF(ISBLANK(D453),T(D453),"ERREUR")))</f>
        <v/>
      </c>
      <c r="N453" s="38" t="str">
        <f>IF(COUNTIF($V$4:$V$6,E453)&gt;0,E453,IF(ISBLANK(E453),IF(ISBLANK(E454),T(E453),"ERREUR"),"ERREUR"))</f>
        <v/>
      </c>
      <c r="O453" s="38" t="str">
        <f>IF(COUNTIF($W$4:$W$5,F453)&gt;0,F453,IF(ISBLANK(F453),IF(ISBLANK(F454),T(F453),"ERREUR"),"ERREUR"))</f>
        <v/>
      </c>
      <c r="P453" s="38" t="str">
        <f>IF(COUNTIF($X$4:$X$8,G453)&gt;0,G453,IF(ISBLANK(G453),IF(ISBLANK(G454),T(G453),"ERREUR"),"ERREUR"))</f>
        <v/>
      </c>
      <c r="Q453" s="38" t="str">
        <f>IF(ISNUMBER(H453),IF(INT(H453)=H453,H453,"ERREUR"),IF(ISBLANK(H453),IF(ISBLANK(H454),T(H453),"ERREUR"),"ERREUR"))</f>
        <v/>
      </c>
      <c r="R453" s="38"/>
      <c r="S453" s="38"/>
      <c r="T453" s="38"/>
      <c r="U453" s="38"/>
      <c r="V453" s="38"/>
      <c r="W453" s="38"/>
      <c r="X453" s="53"/>
      <c r="Y453" s="42"/>
      <c r="Z453" s="42"/>
      <c r="AA453" s="42"/>
    </row>
    <row r="454" ht="13.75" customHeight="1">
      <c r="A454" s="14" t="s">
        <v>140</v>
      </c>
      <c r="B454" s="50"/>
      <c r="C454" s="43"/>
      <c r="D454" s="43"/>
      <c r="E454" s="44"/>
      <c r="F454" s="44"/>
      <c r="G454" s="44"/>
      <c r="H454" s="45"/>
      <c r="I454" s="54"/>
      <c r="J454" s="47" t="str">
        <f>IF(OR(K454="ERREUR",L454="ERREUR",M454="ERREUR",N454="ERREUR",O454="ERREUR",P454="ERREUR",Q454="ERREUR"),"ERREUR",IF(AND(K454="",L454="",M454="",N454="",O454="",P454="",Q454=""),"ligne vide",IF(OR(K454="",L454="",M454="",N454="",O454="",P454="",Q454=""),"ligne incomplète","Valide")))</f>
        <v xml:space="preserve">ligne vide</v>
      </c>
      <c r="K454" s="48" t="str">
        <f>IF(ISBLANK(B454),IF(ISBLANK(B455),T(B454),"ERREUR"),IF(ISNUMBER(B454),_xlfn.NUMBERVALUE(B454),IF(ISTEXT(B454),VALUE(B454),"ERREUR")))</f>
        <v/>
      </c>
      <c r="L454" s="38" t="str">
        <f>IF(COUNTIF($R$4:$R$6,C454)&gt;0,C454,IF(ISBLANK(C454),IF(ISBLANK(D454),T(C454),"ERREUR"),"ERREUR"))</f>
        <v/>
      </c>
      <c r="M454" s="49" t="str">
        <f>IF(ISBLANK(D454),IF(ISBLANK(D455),T(D454),"ERREUR"),IF(COUNTIF($T$4:$T$240,SUBSTITUTE(SUBSTITUTE(SUBSTITUTE(SUBSTITUTE(SUBSTITUTE(SUBSTITUTE(UPPER(D454),"Å","A"),"É","E"),"È","E"),"Ê","E"),"Î","I"),"Ï","I"))&gt;0,D454,IF(ISBLANK(D454),T(D454),"ERREUR")))</f>
        <v/>
      </c>
      <c r="N454" s="38" t="str">
        <f>IF(COUNTIF($V$4:$V$6,E454)&gt;0,E454,IF(ISBLANK(E454),IF(ISBLANK(E455),T(E454),"ERREUR"),"ERREUR"))</f>
        <v/>
      </c>
      <c r="O454" s="38" t="str">
        <f>IF(COUNTIF($W$4:$W$5,F454)&gt;0,F454,IF(ISBLANK(F454),IF(ISBLANK(F455),T(F454),"ERREUR"),"ERREUR"))</f>
        <v/>
      </c>
      <c r="P454" s="38" t="str">
        <f>IF(COUNTIF($X$4:$X$8,G454)&gt;0,G454,IF(ISBLANK(G454),IF(ISBLANK(G455),T(G454),"ERREUR"),"ERREUR"))</f>
        <v/>
      </c>
      <c r="Q454" s="38" t="str">
        <f>IF(ISNUMBER(H454),IF(INT(H454)=H454,H454,"ERREUR"),IF(ISBLANK(H454),IF(ISBLANK(H455),T(H454),"ERREUR"),"ERREUR"))</f>
        <v/>
      </c>
      <c r="R454" s="38"/>
      <c r="S454" s="38"/>
      <c r="T454" s="38"/>
      <c r="U454" s="38"/>
      <c r="V454" s="38"/>
      <c r="W454" s="38"/>
      <c r="X454" s="53"/>
      <c r="Y454" s="42"/>
      <c r="Z454" s="42"/>
      <c r="AA454" s="42"/>
    </row>
    <row r="455" ht="13.75" customHeight="1">
      <c r="A455" s="14" t="s">
        <v>140</v>
      </c>
      <c r="B455" s="50"/>
      <c r="C455" s="43"/>
      <c r="D455" s="43"/>
      <c r="E455" s="44"/>
      <c r="F455" s="44"/>
      <c r="G455" s="44"/>
      <c r="H455" s="45"/>
      <c r="I455" s="54"/>
      <c r="J455" s="47" t="str">
        <f>IF(OR(K455="ERREUR",L455="ERREUR",M455="ERREUR",N455="ERREUR",O455="ERREUR",P455="ERREUR",Q455="ERREUR"),"ERREUR",IF(AND(K455="",L455="",M455="",N455="",O455="",P455="",Q455=""),"ligne vide",IF(OR(K455="",L455="",M455="",N455="",O455="",P455="",Q455=""),"ligne incomplète","Valide")))</f>
        <v xml:space="preserve">ligne vide</v>
      </c>
      <c r="K455" s="48" t="str">
        <f>IF(ISBLANK(B455),IF(ISBLANK(B456),T(B455),"ERREUR"),IF(ISNUMBER(B455),_xlfn.NUMBERVALUE(B455),IF(ISTEXT(B455),VALUE(B455),"ERREUR")))</f>
        <v/>
      </c>
      <c r="L455" s="38" t="str">
        <f>IF(COUNTIF($R$4:$R$6,C455)&gt;0,C455,IF(ISBLANK(C455),IF(ISBLANK(D455),T(C455),"ERREUR"),"ERREUR"))</f>
        <v/>
      </c>
      <c r="M455" s="49" t="str">
        <f>IF(ISBLANK(D455),IF(ISBLANK(D456),T(D455),"ERREUR"),IF(COUNTIF($T$4:$T$240,SUBSTITUTE(SUBSTITUTE(SUBSTITUTE(SUBSTITUTE(SUBSTITUTE(SUBSTITUTE(UPPER(D455),"Å","A"),"É","E"),"È","E"),"Ê","E"),"Î","I"),"Ï","I"))&gt;0,D455,IF(ISBLANK(D455),T(D455),"ERREUR")))</f>
        <v/>
      </c>
      <c r="N455" s="38" t="str">
        <f>IF(COUNTIF($V$4:$V$6,E455)&gt;0,E455,IF(ISBLANK(E455),IF(ISBLANK(E456),T(E455),"ERREUR"),"ERREUR"))</f>
        <v/>
      </c>
      <c r="O455" s="38" t="str">
        <f>IF(COUNTIF($W$4:$W$5,F455)&gt;0,F455,IF(ISBLANK(F455),IF(ISBLANK(F456),T(F455),"ERREUR"),"ERREUR"))</f>
        <v/>
      </c>
      <c r="P455" s="38" t="str">
        <f>IF(COUNTIF($X$4:$X$8,G455)&gt;0,G455,IF(ISBLANK(G455),IF(ISBLANK(G456),T(G455),"ERREUR"),"ERREUR"))</f>
        <v/>
      </c>
      <c r="Q455" s="38" t="str">
        <f>IF(ISNUMBER(H455),IF(INT(H455)=H455,H455,"ERREUR"),IF(ISBLANK(H455),IF(ISBLANK(H456),T(H455),"ERREUR"),"ERREUR"))</f>
        <v/>
      </c>
      <c r="R455" s="38"/>
      <c r="S455" s="38"/>
      <c r="T455" s="38"/>
      <c r="U455" s="38"/>
      <c r="V455" s="38"/>
      <c r="W455" s="38"/>
      <c r="X455" s="53"/>
      <c r="Y455" s="42"/>
      <c r="Z455" s="42"/>
      <c r="AA455" s="42"/>
    </row>
    <row r="456" ht="13.75" customHeight="1">
      <c r="A456" s="14" t="s">
        <v>140</v>
      </c>
      <c r="B456" s="50"/>
      <c r="C456" s="43"/>
      <c r="D456" s="43"/>
      <c r="E456" s="44"/>
      <c r="F456" s="44"/>
      <c r="G456" s="44"/>
      <c r="H456" s="45"/>
      <c r="I456" s="54"/>
      <c r="J456" s="47" t="str">
        <f>IF(OR(K456="ERREUR",L456="ERREUR",M456="ERREUR",N456="ERREUR",O456="ERREUR",P456="ERREUR",Q456="ERREUR"),"ERREUR",IF(AND(K456="",L456="",M456="",N456="",O456="",P456="",Q456=""),"ligne vide",IF(OR(K456="",L456="",M456="",N456="",O456="",P456="",Q456=""),"ligne incomplète","Valide")))</f>
        <v xml:space="preserve">ligne vide</v>
      </c>
      <c r="K456" s="48" t="str">
        <f>IF(ISBLANK(B456),IF(ISBLANK(B457),T(B456),"ERREUR"),IF(ISNUMBER(B456),_xlfn.NUMBERVALUE(B456),IF(ISTEXT(B456),VALUE(B456),"ERREUR")))</f>
        <v/>
      </c>
      <c r="L456" s="38" t="str">
        <f>IF(COUNTIF($R$4:$R$6,C456)&gt;0,C456,IF(ISBLANK(C456),IF(ISBLANK(D456),T(C456),"ERREUR"),"ERREUR"))</f>
        <v/>
      </c>
      <c r="M456" s="49" t="str">
        <f>IF(ISBLANK(D456),IF(ISBLANK(D457),T(D456),"ERREUR"),IF(COUNTIF($T$4:$T$240,SUBSTITUTE(SUBSTITUTE(SUBSTITUTE(SUBSTITUTE(SUBSTITUTE(SUBSTITUTE(UPPER(D456),"Å","A"),"É","E"),"È","E"),"Ê","E"),"Î","I"),"Ï","I"))&gt;0,D456,IF(ISBLANK(D456),T(D456),"ERREUR")))</f>
        <v/>
      </c>
      <c r="N456" s="38" t="str">
        <f>IF(COUNTIF($V$4:$V$6,E456)&gt;0,E456,IF(ISBLANK(E456),IF(ISBLANK(E457),T(E456),"ERREUR"),"ERREUR"))</f>
        <v/>
      </c>
      <c r="O456" s="38" t="str">
        <f>IF(COUNTIF($W$4:$W$5,F456)&gt;0,F456,IF(ISBLANK(F456),IF(ISBLANK(F457),T(F456),"ERREUR"),"ERREUR"))</f>
        <v/>
      </c>
      <c r="P456" s="38" t="str">
        <f>IF(COUNTIF($X$4:$X$8,G456)&gt;0,G456,IF(ISBLANK(G456),IF(ISBLANK(G457),T(G456),"ERREUR"),"ERREUR"))</f>
        <v/>
      </c>
      <c r="Q456" s="38" t="str">
        <f>IF(ISNUMBER(H456),IF(INT(H456)=H456,H456,"ERREUR"),IF(ISBLANK(H456),IF(ISBLANK(H457),T(H456),"ERREUR"),"ERREUR"))</f>
        <v/>
      </c>
      <c r="R456" s="38"/>
      <c r="S456" s="38"/>
      <c r="T456" s="38"/>
      <c r="U456" s="38"/>
      <c r="V456" s="38"/>
      <c r="W456" s="38"/>
      <c r="X456" s="53"/>
      <c r="Y456" s="42"/>
      <c r="Z456" s="42"/>
      <c r="AA456" s="42"/>
    </row>
    <row r="457" ht="13.75" customHeight="1">
      <c r="A457" s="14" t="s">
        <v>140</v>
      </c>
      <c r="B457" s="50"/>
      <c r="C457" s="43"/>
      <c r="D457" s="43"/>
      <c r="E457" s="44"/>
      <c r="F457" s="44"/>
      <c r="G457" s="44"/>
      <c r="H457" s="45"/>
      <c r="I457" s="54"/>
      <c r="J457" s="47" t="str">
        <f>IF(OR(K457="ERREUR",L457="ERREUR",M457="ERREUR",N457="ERREUR",O457="ERREUR",P457="ERREUR",Q457="ERREUR"),"ERREUR",IF(AND(K457="",L457="",M457="",N457="",O457="",P457="",Q457=""),"ligne vide",IF(OR(K457="",L457="",M457="",N457="",O457="",P457="",Q457=""),"ligne incomplète","Valide")))</f>
        <v xml:space="preserve">ligne vide</v>
      </c>
      <c r="K457" s="48" t="str">
        <f>IF(ISBLANK(B457),IF(ISBLANK(B458),T(B457),"ERREUR"),IF(ISNUMBER(B457),_xlfn.NUMBERVALUE(B457),IF(ISTEXT(B457),VALUE(B457),"ERREUR")))</f>
        <v/>
      </c>
      <c r="L457" s="38" t="str">
        <f>IF(COUNTIF($R$4:$R$6,C457)&gt;0,C457,IF(ISBLANK(C457),IF(ISBLANK(D457),T(C457),"ERREUR"),"ERREUR"))</f>
        <v/>
      </c>
      <c r="M457" s="49" t="str">
        <f>IF(ISBLANK(D457),IF(ISBLANK(D458),T(D457),"ERREUR"),IF(COUNTIF($T$4:$T$240,SUBSTITUTE(SUBSTITUTE(SUBSTITUTE(SUBSTITUTE(SUBSTITUTE(SUBSTITUTE(UPPER(D457),"Å","A"),"É","E"),"È","E"),"Ê","E"),"Î","I"),"Ï","I"))&gt;0,D457,IF(ISBLANK(D457),T(D457),"ERREUR")))</f>
        <v/>
      </c>
      <c r="N457" s="38" t="str">
        <f>IF(COUNTIF($V$4:$V$6,E457)&gt;0,E457,IF(ISBLANK(E457),IF(ISBLANK(E458),T(E457),"ERREUR"),"ERREUR"))</f>
        <v/>
      </c>
      <c r="O457" s="38" t="str">
        <f>IF(COUNTIF($W$4:$W$5,F457)&gt;0,F457,IF(ISBLANK(F457),IF(ISBLANK(F458),T(F457),"ERREUR"),"ERREUR"))</f>
        <v/>
      </c>
      <c r="P457" s="38" t="str">
        <f>IF(COUNTIF($X$4:$X$8,G457)&gt;0,G457,IF(ISBLANK(G457),IF(ISBLANK(G458),T(G457),"ERREUR"),"ERREUR"))</f>
        <v/>
      </c>
      <c r="Q457" s="38" t="str">
        <f>IF(ISNUMBER(H457),IF(INT(H457)=H457,H457,"ERREUR"),IF(ISBLANK(H457),IF(ISBLANK(H458),T(H457),"ERREUR"),"ERREUR"))</f>
        <v/>
      </c>
      <c r="R457" s="38"/>
      <c r="S457" s="38"/>
      <c r="T457" s="38"/>
      <c r="U457" s="38"/>
      <c r="V457" s="38"/>
      <c r="W457" s="38"/>
      <c r="X457" s="53"/>
      <c r="Y457" s="42"/>
      <c r="Z457" s="42"/>
      <c r="AA457" s="42"/>
    </row>
    <row r="458" ht="13.75" customHeight="1">
      <c r="A458" s="14" t="s">
        <v>140</v>
      </c>
      <c r="B458" s="50"/>
      <c r="C458" s="43"/>
      <c r="D458" s="43"/>
      <c r="E458" s="44"/>
      <c r="F458" s="44"/>
      <c r="G458" s="44"/>
      <c r="H458" s="45"/>
      <c r="I458" s="54"/>
      <c r="J458" s="47" t="str">
        <f>IF(OR(K458="ERREUR",L458="ERREUR",M458="ERREUR",N458="ERREUR",O458="ERREUR",P458="ERREUR",Q458="ERREUR"),"ERREUR",IF(AND(K458="",L458="",M458="",N458="",O458="",P458="",Q458=""),"ligne vide",IF(OR(K458="",L458="",M458="",N458="",O458="",P458="",Q458=""),"ligne incomplète","Valide")))</f>
        <v xml:space="preserve">ligne vide</v>
      </c>
      <c r="K458" s="48" t="str">
        <f>IF(ISBLANK(B458),IF(ISBLANK(B459),T(B458),"ERREUR"),IF(ISNUMBER(B458),_xlfn.NUMBERVALUE(B458),IF(ISTEXT(B458),VALUE(B458),"ERREUR")))</f>
        <v/>
      </c>
      <c r="L458" s="38" t="str">
        <f>IF(COUNTIF($R$4:$R$6,C458)&gt;0,C458,IF(ISBLANK(C458),IF(ISBLANK(D458),T(C458),"ERREUR"),"ERREUR"))</f>
        <v/>
      </c>
      <c r="M458" s="49" t="str">
        <f>IF(ISBLANK(D458),IF(ISBLANK(D459),T(D458),"ERREUR"),IF(COUNTIF($T$4:$T$240,SUBSTITUTE(SUBSTITUTE(SUBSTITUTE(SUBSTITUTE(SUBSTITUTE(SUBSTITUTE(UPPER(D458),"Å","A"),"É","E"),"È","E"),"Ê","E"),"Î","I"),"Ï","I"))&gt;0,D458,IF(ISBLANK(D458),T(D458),"ERREUR")))</f>
        <v/>
      </c>
      <c r="N458" s="38" t="str">
        <f>IF(COUNTIF($V$4:$V$6,E458)&gt;0,E458,IF(ISBLANK(E458),IF(ISBLANK(E459),T(E458),"ERREUR"),"ERREUR"))</f>
        <v/>
      </c>
      <c r="O458" s="38" t="str">
        <f>IF(COUNTIF($W$4:$W$5,F458)&gt;0,F458,IF(ISBLANK(F458),IF(ISBLANK(F459),T(F458),"ERREUR"),"ERREUR"))</f>
        <v/>
      </c>
      <c r="P458" s="38" t="str">
        <f>IF(COUNTIF($X$4:$X$8,G458)&gt;0,G458,IF(ISBLANK(G458),IF(ISBLANK(G459),T(G458),"ERREUR"),"ERREUR"))</f>
        <v/>
      </c>
      <c r="Q458" s="38" t="str">
        <f>IF(ISNUMBER(H458),IF(INT(H458)=H458,H458,"ERREUR"),IF(ISBLANK(H458),IF(ISBLANK(H459),T(H458),"ERREUR"),"ERREUR"))</f>
        <v/>
      </c>
      <c r="R458" s="38"/>
      <c r="S458" s="38"/>
      <c r="T458" s="38"/>
      <c r="U458" s="38"/>
      <c r="V458" s="38"/>
      <c r="W458" s="38"/>
      <c r="X458" s="53"/>
      <c r="Y458" s="42"/>
      <c r="Z458" s="42"/>
      <c r="AA458" s="42"/>
    </row>
    <row r="459" ht="13.75" customHeight="1">
      <c r="A459" s="14" t="s">
        <v>140</v>
      </c>
      <c r="B459" s="50"/>
      <c r="C459" s="43"/>
      <c r="D459" s="43"/>
      <c r="E459" s="44"/>
      <c r="F459" s="44"/>
      <c r="G459" s="44"/>
      <c r="H459" s="45"/>
      <c r="I459" s="54"/>
      <c r="J459" s="47" t="str">
        <f>IF(OR(K459="ERREUR",L459="ERREUR",M459="ERREUR",N459="ERREUR",O459="ERREUR",P459="ERREUR",Q459="ERREUR"),"ERREUR",IF(AND(K459="",L459="",M459="",N459="",O459="",P459="",Q459=""),"ligne vide",IF(OR(K459="",L459="",M459="",N459="",O459="",P459="",Q459=""),"ligne incomplète","Valide")))</f>
        <v xml:space="preserve">ligne vide</v>
      </c>
      <c r="K459" s="48" t="str">
        <f>IF(ISBLANK(B459),IF(ISBLANK(B460),T(B459),"ERREUR"),IF(ISNUMBER(B459),_xlfn.NUMBERVALUE(B459),IF(ISTEXT(B459),VALUE(B459),"ERREUR")))</f>
        <v/>
      </c>
      <c r="L459" s="38" t="str">
        <f>IF(COUNTIF($R$4:$R$6,C459)&gt;0,C459,IF(ISBLANK(C459),IF(ISBLANK(D459),T(C459),"ERREUR"),"ERREUR"))</f>
        <v/>
      </c>
      <c r="M459" s="49" t="str">
        <f>IF(ISBLANK(D459),IF(ISBLANK(D460),T(D459),"ERREUR"),IF(COUNTIF($T$4:$T$240,SUBSTITUTE(SUBSTITUTE(SUBSTITUTE(SUBSTITUTE(SUBSTITUTE(SUBSTITUTE(UPPER(D459),"Å","A"),"É","E"),"È","E"),"Ê","E"),"Î","I"),"Ï","I"))&gt;0,D459,IF(ISBLANK(D459),T(D459),"ERREUR")))</f>
        <v/>
      </c>
      <c r="N459" s="38" t="str">
        <f>IF(COUNTIF($V$4:$V$6,E459)&gt;0,E459,IF(ISBLANK(E459),IF(ISBLANK(E460),T(E459),"ERREUR"),"ERREUR"))</f>
        <v/>
      </c>
      <c r="O459" s="38" t="str">
        <f>IF(COUNTIF($W$4:$W$5,F459)&gt;0,F459,IF(ISBLANK(F459),IF(ISBLANK(F460),T(F459),"ERREUR"),"ERREUR"))</f>
        <v/>
      </c>
      <c r="P459" s="38" t="str">
        <f>IF(COUNTIF($X$4:$X$8,G459)&gt;0,G459,IF(ISBLANK(G459),IF(ISBLANK(G460),T(G459),"ERREUR"),"ERREUR"))</f>
        <v/>
      </c>
      <c r="Q459" s="38" t="str">
        <f>IF(ISNUMBER(H459),IF(INT(H459)=H459,H459,"ERREUR"),IF(ISBLANK(H459),IF(ISBLANK(H460),T(H459),"ERREUR"),"ERREUR"))</f>
        <v/>
      </c>
      <c r="R459" s="38"/>
      <c r="S459" s="38"/>
      <c r="T459" s="38"/>
      <c r="U459" s="38"/>
      <c r="V459" s="38"/>
      <c r="W459" s="38"/>
      <c r="X459" s="53"/>
      <c r="Y459" s="42"/>
      <c r="Z459" s="42"/>
      <c r="AA459" s="42"/>
    </row>
    <row r="460" ht="13.75" customHeight="1">
      <c r="A460" s="14" t="s">
        <v>140</v>
      </c>
      <c r="B460" s="50"/>
      <c r="C460" s="43"/>
      <c r="D460" s="43"/>
      <c r="E460" s="44"/>
      <c r="F460" s="44"/>
      <c r="G460" s="44"/>
      <c r="H460" s="45"/>
      <c r="I460" s="54"/>
      <c r="J460" s="47" t="str">
        <f>IF(OR(K460="ERREUR",L460="ERREUR",M460="ERREUR",N460="ERREUR",O460="ERREUR",P460="ERREUR",Q460="ERREUR"),"ERREUR",IF(AND(K460="",L460="",M460="",N460="",O460="",P460="",Q460=""),"ligne vide",IF(OR(K460="",L460="",M460="",N460="",O460="",P460="",Q460=""),"ligne incomplète","Valide")))</f>
        <v xml:space="preserve">ligne vide</v>
      </c>
      <c r="K460" s="48" t="str">
        <f>IF(ISBLANK(B460),IF(ISBLANK(B461),T(B460),"ERREUR"),IF(ISNUMBER(B460),_xlfn.NUMBERVALUE(B460),IF(ISTEXT(B460),VALUE(B460),"ERREUR")))</f>
        <v/>
      </c>
      <c r="L460" s="38" t="str">
        <f>IF(COUNTIF($R$4:$R$6,C460)&gt;0,C460,IF(ISBLANK(C460),IF(ISBLANK(D460),T(C460),"ERREUR"),"ERREUR"))</f>
        <v/>
      </c>
      <c r="M460" s="49" t="str">
        <f>IF(ISBLANK(D460),IF(ISBLANK(D461),T(D460),"ERREUR"),IF(COUNTIF($T$4:$T$240,SUBSTITUTE(SUBSTITUTE(SUBSTITUTE(SUBSTITUTE(SUBSTITUTE(SUBSTITUTE(UPPER(D460),"Å","A"),"É","E"),"È","E"),"Ê","E"),"Î","I"),"Ï","I"))&gt;0,D460,IF(ISBLANK(D460),T(D460),"ERREUR")))</f>
        <v/>
      </c>
      <c r="N460" s="38" t="str">
        <f>IF(COUNTIF($V$4:$V$6,E460)&gt;0,E460,IF(ISBLANK(E460),IF(ISBLANK(E461),T(E460),"ERREUR"),"ERREUR"))</f>
        <v/>
      </c>
      <c r="O460" s="38" t="str">
        <f>IF(COUNTIF($W$4:$W$5,F460)&gt;0,F460,IF(ISBLANK(F460),IF(ISBLANK(F461),T(F460),"ERREUR"),"ERREUR"))</f>
        <v/>
      </c>
      <c r="P460" s="38" t="str">
        <f>IF(COUNTIF($X$4:$X$8,G460)&gt;0,G460,IF(ISBLANK(G460),IF(ISBLANK(G461),T(G460),"ERREUR"),"ERREUR"))</f>
        <v/>
      </c>
      <c r="Q460" s="38" t="str">
        <f>IF(ISNUMBER(H460),IF(INT(H460)=H460,H460,"ERREUR"),IF(ISBLANK(H460),IF(ISBLANK(H461),T(H460),"ERREUR"),"ERREUR"))</f>
        <v/>
      </c>
      <c r="R460" s="38"/>
      <c r="S460" s="38"/>
      <c r="T460" s="38"/>
      <c r="U460" s="38"/>
      <c r="V460" s="38"/>
      <c r="W460" s="38"/>
      <c r="X460" s="53"/>
      <c r="Y460" s="42"/>
      <c r="Z460" s="42"/>
      <c r="AA460" s="42"/>
    </row>
    <row r="461" ht="13.75" customHeight="1">
      <c r="A461" s="14" t="s">
        <v>140</v>
      </c>
      <c r="B461" s="50"/>
      <c r="C461" s="43"/>
      <c r="D461" s="43"/>
      <c r="E461" s="44"/>
      <c r="F461" s="44"/>
      <c r="G461" s="44"/>
      <c r="H461" s="45"/>
      <c r="I461" s="54"/>
      <c r="J461" s="47" t="str">
        <f>IF(OR(K461="ERREUR",L461="ERREUR",M461="ERREUR",N461="ERREUR",O461="ERREUR",P461="ERREUR",Q461="ERREUR"),"ERREUR",IF(AND(K461="",L461="",M461="",N461="",O461="",P461="",Q461=""),"ligne vide",IF(OR(K461="",L461="",M461="",N461="",O461="",P461="",Q461=""),"ligne incomplète","Valide")))</f>
        <v xml:space="preserve">ligne vide</v>
      </c>
      <c r="K461" s="48" t="str">
        <f>IF(ISBLANK(B461),IF(ISBLANK(B462),T(B461),"ERREUR"),IF(ISNUMBER(B461),_xlfn.NUMBERVALUE(B461),IF(ISTEXT(B461),VALUE(B461),"ERREUR")))</f>
        <v/>
      </c>
      <c r="L461" s="38" t="str">
        <f>IF(COUNTIF($R$4:$R$6,C461)&gt;0,C461,IF(ISBLANK(C461),IF(ISBLANK(D461),T(C461),"ERREUR"),"ERREUR"))</f>
        <v/>
      </c>
      <c r="M461" s="49" t="str">
        <f>IF(ISBLANK(D461),IF(ISBLANK(D462),T(D461),"ERREUR"),IF(COUNTIF($T$4:$T$240,SUBSTITUTE(SUBSTITUTE(SUBSTITUTE(SUBSTITUTE(SUBSTITUTE(SUBSTITUTE(UPPER(D461),"Å","A"),"É","E"),"È","E"),"Ê","E"),"Î","I"),"Ï","I"))&gt;0,D461,IF(ISBLANK(D461),T(D461),"ERREUR")))</f>
        <v/>
      </c>
      <c r="N461" s="38" t="str">
        <f>IF(COUNTIF($V$4:$V$6,E461)&gt;0,E461,IF(ISBLANK(E461),IF(ISBLANK(E462),T(E461),"ERREUR"),"ERREUR"))</f>
        <v/>
      </c>
      <c r="O461" s="38" t="str">
        <f>IF(COUNTIF($W$4:$W$5,F461)&gt;0,F461,IF(ISBLANK(F461),IF(ISBLANK(F462),T(F461),"ERREUR"),"ERREUR"))</f>
        <v/>
      </c>
      <c r="P461" s="38" t="str">
        <f>IF(COUNTIF($X$4:$X$8,G461)&gt;0,G461,IF(ISBLANK(G461),IF(ISBLANK(G462),T(G461),"ERREUR"),"ERREUR"))</f>
        <v/>
      </c>
      <c r="Q461" s="38" t="str">
        <f>IF(ISNUMBER(H461),IF(INT(H461)=H461,H461,"ERREUR"),IF(ISBLANK(H461),IF(ISBLANK(H462),T(H461),"ERREUR"),"ERREUR"))</f>
        <v/>
      </c>
      <c r="R461" s="38"/>
      <c r="S461" s="38"/>
      <c r="T461" s="38"/>
      <c r="U461" s="38"/>
      <c r="V461" s="38"/>
      <c r="W461" s="38"/>
      <c r="X461" s="53"/>
      <c r="Y461" s="42"/>
      <c r="Z461" s="42"/>
      <c r="AA461" s="42"/>
    </row>
    <row r="462" ht="13.75" customHeight="1">
      <c r="A462" s="14" t="s">
        <v>140</v>
      </c>
      <c r="B462" s="50"/>
      <c r="C462" s="43"/>
      <c r="D462" s="43"/>
      <c r="E462" s="44"/>
      <c r="F462" s="44"/>
      <c r="G462" s="44"/>
      <c r="H462" s="45"/>
      <c r="I462" s="54"/>
      <c r="J462" s="47" t="str">
        <f>IF(OR(K462="ERREUR",L462="ERREUR",M462="ERREUR",N462="ERREUR",O462="ERREUR",P462="ERREUR",Q462="ERREUR"),"ERREUR",IF(AND(K462="",L462="",M462="",N462="",O462="",P462="",Q462=""),"ligne vide",IF(OR(K462="",L462="",M462="",N462="",O462="",P462="",Q462=""),"ligne incomplète","Valide")))</f>
        <v xml:space="preserve">ligne vide</v>
      </c>
      <c r="K462" s="48" t="str">
        <f>IF(ISBLANK(B462),IF(ISBLANK(B463),T(B462),"ERREUR"),IF(ISNUMBER(B462),_xlfn.NUMBERVALUE(B462),IF(ISTEXT(B462),VALUE(B462),"ERREUR")))</f>
        <v/>
      </c>
      <c r="L462" s="38" t="str">
        <f>IF(COUNTIF($R$4:$R$6,C462)&gt;0,C462,IF(ISBLANK(C462),IF(ISBLANK(D462),T(C462),"ERREUR"),"ERREUR"))</f>
        <v/>
      </c>
      <c r="M462" s="49" t="str">
        <f>IF(ISBLANK(D462),IF(ISBLANK(D463),T(D462),"ERREUR"),IF(COUNTIF($T$4:$T$240,SUBSTITUTE(SUBSTITUTE(SUBSTITUTE(SUBSTITUTE(SUBSTITUTE(SUBSTITUTE(UPPER(D462),"Å","A"),"É","E"),"È","E"),"Ê","E"),"Î","I"),"Ï","I"))&gt;0,D462,IF(ISBLANK(D462),T(D462),"ERREUR")))</f>
        <v/>
      </c>
      <c r="N462" s="38" t="str">
        <f>IF(COUNTIF($V$4:$V$6,E462)&gt;0,E462,IF(ISBLANK(E462),IF(ISBLANK(E463),T(E462),"ERREUR"),"ERREUR"))</f>
        <v/>
      </c>
      <c r="O462" s="38" t="str">
        <f>IF(COUNTIF($W$4:$W$5,F462)&gt;0,F462,IF(ISBLANK(F462),IF(ISBLANK(F463),T(F462),"ERREUR"),"ERREUR"))</f>
        <v/>
      </c>
      <c r="P462" s="38" t="str">
        <f>IF(COUNTIF($X$4:$X$8,G462)&gt;0,G462,IF(ISBLANK(G462),IF(ISBLANK(G463),T(G462),"ERREUR"),"ERREUR"))</f>
        <v/>
      </c>
      <c r="Q462" s="38" t="str">
        <f>IF(ISNUMBER(H462),IF(INT(H462)=H462,H462,"ERREUR"),IF(ISBLANK(H462),IF(ISBLANK(H463),T(H462),"ERREUR"),"ERREUR"))</f>
        <v/>
      </c>
      <c r="R462" s="38"/>
      <c r="S462" s="38"/>
      <c r="T462" s="38"/>
      <c r="U462" s="38"/>
      <c r="V462" s="38"/>
      <c r="W462" s="38"/>
      <c r="X462" s="53"/>
      <c r="Y462" s="42"/>
      <c r="Z462" s="42"/>
      <c r="AA462" s="42"/>
    </row>
    <row r="463" ht="13.75" customHeight="1">
      <c r="A463" s="14" t="s">
        <v>140</v>
      </c>
      <c r="B463" s="50"/>
      <c r="C463" s="43"/>
      <c r="D463" s="43"/>
      <c r="E463" s="44"/>
      <c r="F463" s="44"/>
      <c r="G463" s="44"/>
      <c r="H463" s="45"/>
      <c r="I463" s="54"/>
      <c r="J463" s="47" t="str">
        <f>IF(OR(K463="ERREUR",L463="ERREUR",M463="ERREUR",N463="ERREUR",O463="ERREUR",P463="ERREUR",Q463="ERREUR"),"ERREUR",IF(AND(K463="",L463="",M463="",N463="",O463="",P463="",Q463=""),"ligne vide",IF(OR(K463="",L463="",M463="",N463="",O463="",P463="",Q463=""),"ligne incomplète","Valide")))</f>
        <v xml:space="preserve">ligne vide</v>
      </c>
      <c r="K463" s="48" t="str">
        <f>IF(ISBLANK(B463),IF(ISBLANK(B464),T(B463),"ERREUR"),IF(ISNUMBER(B463),_xlfn.NUMBERVALUE(B463),IF(ISTEXT(B463),VALUE(B463),"ERREUR")))</f>
        <v/>
      </c>
      <c r="L463" s="38" t="str">
        <f>IF(COUNTIF($R$4:$R$6,C463)&gt;0,C463,IF(ISBLANK(C463),IF(ISBLANK(D463),T(C463),"ERREUR"),"ERREUR"))</f>
        <v/>
      </c>
      <c r="M463" s="49" t="str">
        <f>IF(ISBLANK(D463),IF(ISBLANK(D464),T(D463),"ERREUR"),IF(COUNTIF($T$4:$T$240,SUBSTITUTE(SUBSTITUTE(SUBSTITUTE(SUBSTITUTE(SUBSTITUTE(SUBSTITUTE(UPPER(D463),"Å","A"),"É","E"),"È","E"),"Ê","E"),"Î","I"),"Ï","I"))&gt;0,D463,IF(ISBLANK(D463),T(D463),"ERREUR")))</f>
        <v/>
      </c>
      <c r="N463" s="38" t="str">
        <f>IF(COUNTIF($V$4:$V$6,E463)&gt;0,E463,IF(ISBLANK(E463),IF(ISBLANK(E464),T(E463),"ERREUR"),"ERREUR"))</f>
        <v/>
      </c>
      <c r="O463" s="38" t="str">
        <f>IF(COUNTIF($W$4:$W$5,F463)&gt;0,F463,IF(ISBLANK(F463),IF(ISBLANK(F464),T(F463),"ERREUR"),"ERREUR"))</f>
        <v/>
      </c>
      <c r="P463" s="38" t="str">
        <f>IF(COUNTIF($X$4:$X$8,G463)&gt;0,G463,IF(ISBLANK(G463),IF(ISBLANK(G464),T(G463),"ERREUR"),"ERREUR"))</f>
        <v/>
      </c>
      <c r="Q463" s="38" t="str">
        <f>IF(ISNUMBER(H463),IF(INT(H463)=H463,H463,"ERREUR"),IF(ISBLANK(H463),IF(ISBLANK(H464),T(H463),"ERREUR"),"ERREUR"))</f>
        <v/>
      </c>
      <c r="R463" s="38"/>
      <c r="S463" s="38"/>
      <c r="T463" s="38"/>
      <c r="U463" s="38"/>
      <c r="V463" s="38"/>
      <c r="W463" s="38"/>
      <c r="X463" s="53"/>
      <c r="Y463" s="42"/>
      <c r="Z463" s="42"/>
      <c r="AA463" s="42"/>
    </row>
    <row r="464" ht="13.75" customHeight="1">
      <c r="A464" s="14" t="s">
        <v>140</v>
      </c>
      <c r="B464" s="50"/>
      <c r="C464" s="43"/>
      <c r="D464" s="43"/>
      <c r="E464" s="44"/>
      <c r="F464" s="44"/>
      <c r="G464" s="44"/>
      <c r="H464" s="45"/>
      <c r="I464" s="54"/>
      <c r="J464" s="47" t="str">
        <f>IF(OR(K464="ERREUR",L464="ERREUR",M464="ERREUR",N464="ERREUR",O464="ERREUR",P464="ERREUR",Q464="ERREUR"),"ERREUR",IF(AND(K464="",L464="",M464="",N464="",O464="",P464="",Q464=""),"ligne vide",IF(OR(K464="",L464="",M464="",N464="",O464="",P464="",Q464=""),"ligne incomplète","Valide")))</f>
        <v xml:space="preserve">ligne vide</v>
      </c>
      <c r="K464" s="48" t="str">
        <f>IF(ISBLANK(B464),IF(ISBLANK(B465),T(B464),"ERREUR"),IF(ISNUMBER(B464),_xlfn.NUMBERVALUE(B464),IF(ISTEXT(B464),VALUE(B464),"ERREUR")))</f>
        <v/>
      </c>
      <c r="L464" s="38" t="str">
        <f>IF(COUNTIF($R$4:$R$6,C464)&gt;0,C464,IF(ISBLANK(C464),IF(ISBLANK(D464),T(C464),"ERREUR"),"ERREUR"))</f>
        <v/>
      </c>
      <c r="M464" s="49" t="str">
        <f>IF(ISBLANK(D464),IF(ISBLANK(D465),T(D464),"ERREUR"),IF(COUNTIF($T$4:$T$240,SUBSTITUTE(SUBSTITUTE(SUBSTITUTE(SUBSTITUTE(SUBSTITUTE(SUBSTITUTE(UPPER(D464),"Å","A"),"É","E"),"È","E"),"Ê","E"),"Î","I"),"Ï","I"))&gt;0,D464,IF(ISBLANK(D464),T(D464),"ERREUR")))</f>
        <v/>
      </c>
      <c r="N464" s="38" t="str">
        <f>IF(COUNTIF($V$4:$V$6,E464)&gt;0,E464,IF(ISBLANK(E464),IF(ISBLANK(E465),T(E464),"ERREUR"),"ERREUR"))</f>
        <v/>
      </c>
      <c r="O464" s="38" t="str">
        <f>IF(COUNTIF($W$4:$W$5,F464)&gt;0,F464,IF(ISBLANK(F464),IF(ISBLANK(F465),T(F464),"ERREUR"),"ERREUR"))</f>
        <v/>
      </c>
      <c r="P464" s="38" t="str">
        <f>IF(COUNTIF($X$4:$X$8,G464)&gt;0,G464,IF(ISBLANK(G464),IF(ISBLANK(G465),T(G464),"ERREUR"),"ERREUR"))</f>
        <v/>
      </c>
      <c r="Q464" s="38" t="str">
        <f>IF(ISNUMBER(H464),IF(INT(H464)=H464,H464,"ERREUR"),IF(ISBLANK(H464),IF(ISBLANK(H465),T(H464),"ERREUR"),"ERREUR"))</f>
        <v/>
      </c>
      <c r="R464" s="38"/>
      <c r="S464" s="38"/>
      <c r="T464" s="38"/>
      <c r="U464" s="38"/>
      <c r="V464" s="38"/>
      <c r="W464" s="38"/>
      <c r="X464" s="53"/>
      <c r="Y464" s="42"/>
      <c r="Z464" s="42"/>
      <c r="AA464" s="42"/>
    </row>
    <row r="465" ht="13.75" customHeight="1">
      <c r="A465" s="14" t="s">
        <v>140</v>
      </c>
      <c r="B465" s="50"/>
      <c r="C465" s="43"/>
      <c r="D465" s="43"/>
      <c r="E465" s="44"/>
      <c r="F465" s="44"/>
      <c r="G465" s="44"/>
      <c r="H465" s="45"/>
      <c r="I465" s="54"/>
      <c r="J465" s="47" t="str">
        <f>IF(OR(K465="ERREUR",L465="ERREUR",M465="ERREUR",N465="ERREUR",O465="ERREUR",P465="ERREUR",Q465="ERREUR"),"ERREUR",IF(AND(K465="",L465="",M465="",N465="",O465="",P465="",Q465=""),"ligne vide",IF(OR(K465="",L465="",M465="",N465="",O465="",P465="",Q465=""),"ligne incomplète","Valide")))</f>
        <v xml:space="preserve">ligne vide</v>
      </c>
      <c r="K465" s="48" t="str">
        <f>IF(ISBLANK(B465),IF(ISBLANK(B466),T(B465),"ERREUR"),IF(ISNUMBER(B465),_xlfn.NUMBERVALUE(B465),IF(ISTEXT(B465),VALUE(B465),"ERREUR")))</f>
        <v/>
      </c>
      <c r="L465" s="38" t="str">
        <f>IF(COUNTIF($R$4:$R$6,C465)&gt;0,C465,IF(ISBLANK(C465),IF(ISBLANK(D465),T(C465),"ERREUR"),"ERREUR"))</f>
        <v/>
      </c>
      <c r="M465" s="49" t="str">
        <f>IF(ISBLANK(D465),IF(ISBLANK(D466),T(D465),"ERREUR"),IF(COUNTIF($T$4:$T$240,SUBSTITUTE(SUBSTITUTE(SUBSTITUTE(SUBSTITUTE(SUBSTITUTE(SUBSTITUTE(UPPER(D465),"Å","A"),"É","E"),"È","E"),"Ê","E"),"Î","I"),"Ï","I"))&gt;0,D465,IF(ISBLANK(D465),T(D465),"ERREUR")))</f>
        <v/>
      </c>
      <c r="N465" s="38" t="str">
        <f>IF(COUNTIF($V$4:$V$6,E465)&gt;0,E465,IF(ISBLANK(E465),IF(ISBLANK(E466),T(E465),"ERREUR"),"ERREUR"))</f>
        <v/>
      </c>
      <c r="O465" s="38" t="str">
        <f>IF(COUNTIF($W$4:$W$5,F465)&gt;0,F465,IF(ISBLANK(F465),IF(ISBLANK(F466),T(F465),"ERREUR"),"ERREUR"))</f>
        <v/>
      </c>
      <c r="P465" s="38" t="str">
        <f>IF(COUNTIF($X$4:$X$8,G465)&gt;0,G465,IF(ISBLANK(G465),IF(ISBLANK(G466),T(G465),"ERREUR"),"ERREUR"))</f>
        <v/>
      </c>
      <c r="Q465" s="38" t="str">
        <f>IF(ISNUMBER(H465),IF(INT(H465)=H465,H465,"ERREUR"),IF(ISBLANK(H465),IF(ISBLANK(H466),T(H465),"ERREUR"),"ERREUR"))</f>
        <v/>
      </c>
      <c r="R465" s="38"/>
      <c r="S465" s="38"/>
      <c r="T465" s="38"/>
      <c r="U465" s="38"/>
      <c r="V465" s="38"/>
      <c r="W465" s="38"/>
      <c r="X465" s="53"/>
      <c r="Y465" s="42"/>
      <c r="Z465" s="42"/>
      <c r="AA465" s="42"/>
    </row>
    <row r="466" ht="13.75" customHeight="1">
      <c r="A466" s="14" t="s">
        <v>140</v>
      </c>
      <c r="B466" s="50"/>
      <c r="C466" s="43"/>
      <c r="D466" s="43"/>
      <c r="E466" s="44"/>
      <c r="F466" s="44"/>
      <c r="G466" s="44"/>
      <c r="H466" s="45"/>
      <c r="I466" s="54"/>
      <c r="J466" s="47" t="str">
        <f>IF(OR(K466="ERREUR",L466="ERREUR",M466="ERREUR",N466="ERREUR",O466="ERREUR",P466="ERREUR",Q466="ERREUR"),"ERREUR",IF(AND(K466="",L466="",M466="",N466="",O466="",P466="",Q466=""),"ligne vide",IF(OR(K466="",L466="",M466="",N466="",O466="",P466="",Q466=""),"ligne incomplète","Valide")))</f>
        <v xml:space="preserve">ligne vide</v>
      </c>
      <c r="K466" s="48" t="str">
        <f>IF(ISBLANK(B466),IF(ISBLANK(B467),T(B466),"ERREUR"),IF(ISNUMBER(B466),_xlfn.NUMBERVALUE(B466),IF(ISTEXT(B466),VALUE(B466),"ERREUR")))</f>
        <v/>
      </c>
      <c r="L466" s="38" t="str">
        <f>IF(COUNTIF($R$4:$R$6,C466)&gt;0,C466,IF(ISBLANK(C466),IF(ISBLANK(D466),T(C466),"ERREUR"),"ERREUR"))</f>
        <v/>
      </c>
      <c r="M466" s="49" t="str">
        <f>IF(ISBLANK(D466),IF(ISBLANK(D467),T(D466),"ERREUR"),IF(COUNTIF($T$4:$T$240,SUBSTITUTE(SUBSTITUTE(SUBSTITUTE(SUBSTITUTE(SUBSTITUTE(SUBSTITUTE(UPPER(D466),"Å","A"),"É","E"),"È","E"),"Ê","E"),"Î","I"),"Ï","I"))&gt;0,D466,IF(ISBLANK(D466),T(D466),"ERREUR")))</f>
        <v/>
      </c>
      <c r="N466" s="38" t="str">
        <f>IF(COUNTIF($V$4:$V$6,E466)&gt;0,E466,IF(ISBLANK(E466),IF(ISBLANK(E467),T(E466),"ERREUR"),"ERREUR"))</f>
        <v/>
      </c>
      <c r="O466" s="38" t="str">
        <f>IF(COUNTIF($W$4:$W$5,F466)&gt;0,F466,IF(ISBLANK(F466),IF(ISBLANK(F467),T(F466),"ERREUR"),"ERREUR"))</f>
        <v/>
      </c>
      <c r="P466" s="38" t="str">
        <f>IF(COUNTIF($X$4:$X$8,G466)&gt;0,G466,IF(ISBLANK(G466),IF(ISBLANK(G467),T(G466),"ERREUR"),"ERREUR"))</f>
        <v/>
      </c>
      <c r="Q466" s="38" t="str">
        <f>IF(ISNUMBER(H466),IF(INT(H466)=H466,H466,"ERREUR"),IF(ISBLANK(H466),IF(ISBLANK(H467),T(H466),"ERREUR"),"ERREUR"))</f>
        <v/>
      </c>
      <c r="R466" s="38"/>
      <c r="S466" s="38"/>
      <c r="T466" s="38"/>
      <c r="U466" s="38"/>
      <c r="V466" s="38"/>
      <c r="W466" s="38"/>
      <c r="X466" s="53"/>
      <c r="Y466" s="42"/>
      <c r="Z466" s="42"/>
      <c r="AA466" s="42"/>
    </row>
    <row r="467" ht="13.75" customHeight="1">
      <c r="A467" s="14" t="s">
        <v>140</v>
      </c>
      <c r="B467" s="50"/>
      <c r="C467" s="43"/>
      <c r="D467" s="43"/>
      <c r="E467" s="44"/>
      <c r="F467" s="44"/>
      <c r="G467" s="44"/>
      <c r="H467" s="45"/>
      <c r="I467" s="54"/>
      <c r="J467" s="47" t="str">
        <f>IF(OR(K467="ERREUR",L467="ERREUR",M467="ERREUR",N467="ERREUR",O467="ERREUR",P467="ERREUR",Q467="ERREUR"),"ERREUR",IF(AND(K467="",L467="",M467="",N467="",O467="",P467="",Q467=""),"ligne vide",IF(OR(K467="",L467="",M467="",N467="",O467="",P467="",Q467=""),"ligne incomplète","Valide")))</f>
        <v xml:space="preserve">ligne vide</v>
      </c>
      <c r="K467" s="48" t="str">
        <f>IF(ISBLANK(B467),IF(ISBLANK(B468),T(B467),"ERREUR"),IF(ISNUMBER(B467),_xlfn.NUMBERVALUE(B467),IF(ISTEXT(B467),VALUE(B467),"ERREUR")))</f>
        <v/>
      </c>
      <c r="L467" s="38" t="str">
        <f>IF(COUNTIF($R$4:$R$6,C467)&gt;0,C467,IF(ISBLANK(C467),IF(ISBLANK(D467),T(C467),"ERREUR"),"ERREUR"))</f>
        <v/>
      </c>
      <c r="M467" s="49" t="str">
        <f>IF(ISBLANK(D467),IF(ISBLANK(D468),T(D467),"ERREUR"),IF(COUNTIF($T$4:$T$240,SUBSTITUTE(SUBSTITUTE(SUBSTITUTE(SUBSTITUTE(SUBSTITUTE(SUBSTITUTE(UPPER(D467),"Å","A"),"É","E"),"È","E"),"Ê","E"),"Î","I"),"Ï","I"))&gt;0,D467,IF(ISBLANK(D467),T(D467),"ERREUR")))</f>
        <v/>
      </c>
      <c r="N467" s="38" t="str">
        <f>IF(COUNTIF($V$4:$V$6,E467)&gt;0,E467,IF(ISBLANK(E467),IF(ISBLANK(E468),T(E467),"ERREUR"),"ERREUR"))</f>
        <v/>
      </c>
      <c r="O467" s="38" t="str">
        <f>IF(COUNTIF($W$4:$W$5,F467)&gt;0,F467,IF(ISBLANK(F467),IF(ISBLANK(F468),T(F467),"ERREUR"),"ERREUR"))</f>
        <v/>
      </c>
      <c r="P467" s="38" t="str">
        <f>IF(COUNTIF($X$4:$X$8,G467)&gt;0,G467,IF(ISBLANK(G467),IF(ISBLANK(G468),T(G467),"ERREUR"),"ERREUR"))</f>
        <v/>
      </c>
      <c r="Q467" s="38" t="str">
        <f>IF(ISNUMBER(H467),IF(INT(H467)=H467,H467,"ERREUR"),IF(ISBLANK(H467),IF(ISBLANK(H468),T(H467),"ERREUR"),"ERREUR"))</f>
        <v/>
      </c>
      <c r="R467" s="38"/>
      <c r="S467" s="38"/>
      <c r="T467" s="38"/>
      <c r="U467" s="38"/>
      <c r="V467" s="38"/>
      <c r="W467" s="38"/>
      <c r="X467" s="53"/>
      <c r="Y467" s="42"/>
      <c r="Z467" s="42"/>
      <c r="AA467" s="42"/>
    </row>
    <row r="468" ht="13.75" customHeight="1">
      <c r="A468" s="14" t="s">
        <v>140</v>
      </c>
      <c r="B468" s="50"/>
      <c r="C468" s="43"/>
      <c r="D468" s="43"/>
      <c r="E468" s="44"/>
      <c r="F468" s="44"/>
      <c r="G468" s="44"/>
      <c r="H468" s="45"/>
      <c r="I468" s="54"/>
      <c r="J468" s="47" t="str">
        <f>IF(OR(K468="ERREUR",L468="ERREUR",M468="ERREUR",N468="ERREUR",O468="ERREUR",P468="ERREUR",Q468="ERREUR"),"ERREUR",IF(AND(K468="",L468="",M468="",N468="",O468="",P468="",Q468=""),"ligne vide",IF(OR(K468="",L468="",M468="",N468="",O468="",P468="",Q468=""),"ligne incomplète","Valide")))</f>
        <v xml:space="preserve">ligne vide</v>
      </c>
      <c r="K468" s="48" t="str">
        <f>IF(ISBLANK(B468),IF(ISBLANK(B469),T(B468),"ERREUR"),IF(ISNUMBER(B468),_xlfn.NUMBERVALUE(B468),IF(ISTEXT(B468),VALUE(B468),"ERREUR")))</f>
        <v/>
      </c>
      <c r="L468" s="38" t="str">
        <f>IF(COUNTIF($R$4:$R$6,C468)&gt;0,C468,IF(ISBLANK(C468),IF(ISBLANK(D468),T(C468),"ERREUR"),"ERREUR"))</f>
        <v/>
      </c>
      <c r="M468" s="49" t="str">
        <f>IF(ISBLANK(D468),IF(ISBLANK(D469),T(D468),"ERREUR"),IF(COUNTIF($T$4:$T$240,SUBSTITUTE(SUBSTITUTE(SUBSTITUTE(SUBSTITUTE(SUBSTITUTE(SUBSTITUTE(UPPER(D468),"Å","A"),"É","E"),"È","E"),"Ê","E"),"Î","I"),"Ï","I"))&gt;0,D468,IF(ISBLANK(D468),T(D468),"ERREUR")))</f>
        <v/>
      </c>
      <c r="N468" s="38" t="str">
        <f>IF(COUNTIF($V$4:$V$6,E468)&gt;0,E468,IF(ISBLANK(E468),IF(ISBLANK(E469),T(E468),"ERREUR"),"ERREUR"))</f>
        <v/>
      </c>
      <c r="O468" s="38" t="str">
        <f>IF(COUNTIF($W$4:$W$5,F468)&gt;0,F468,IF(ISBLANK(F468),IF(ISBLANK(F469),T(F468),"ERREUR"),"ERREUR"))</f>
        <v/>
      </c>
      <c r="P468" s="38" t="str">
        <f>IF(COUNTIF($X$4:$X$8,G468)&gt;0,G468,IF(ISBLANK(G468),IF(ISBLANK(G469),T(G468),"ERREUR"),"ERREUR"))</f>
        <v/>
      </c>
      <c r="Q468" s="38" t="str">
        <f>IF(ISNUMBER(H468),IF(INT(H468)=H468,H468,"ERREUR"),IF(ISBLANK(H468),IF(ISBLANK(H469),T(H468),"ERREUR"),"ERREUR"))</f>
        <v/>
      </c>
      <c r="R468" s="38"/>
      <c r="S468" s="38"/>
      <c r="T468" s="38"/>
      <c r="U468" s="38"/>
      <c r="V468" s="38"/>
      <c r="W468" s="38"/>
      <c r="X468" s="53"/>
      <c r="Y468" s="42"/>
      <c r="Z468" s="42"/>
      <c r="AA468" s="42"/>
    </row>
    <row r="469" ht="13.75" customHeight="1">
      <c r="A469" s="14" t="s">
        <v>140</v>
      </c>
      <c r="B469" s="50"/>
      <c r="C469" s="43"/>
      <c r="D469" s="43"/>
      <c r="E469" s="44"/>
      <c r="F469" s="44"/>
      <c r="G469" s="44"/>
      <c r="H469" s="45"/>
      <c r="I469" s="54"/>
      <c r="J469" s="47" t="str">
        <f>IF(OR(K469="ERREUR",L469="ERREUR",M469="ERREUR",N469="ERREUR",O469="ERREUR",P469="ERREUR",Q469="ERREUR"),"ERREUR",IF(AND(K469="",L469="",M469="",N469="",O469="",P469="",Q469=""),"ligne vide",IF(OR(K469="",L469="",M469="",N469="",O469="",P469="",Q469=""),"ligne incomplète","Valide")))</f>
        <v xml:space="preserve">ligne vide</v>
      </c>
      <c r="K469" s="48" t="str">
        <f>IF(ISBLANK(B469),IF(ISBLANK(B470),T(B469),"ERREUR"),IF(ISNUMBER(B469),_xlfn.NUMBERVALUE(B469),IF(ISTEXT(B469),VALUE(B469),"ERREUR")))</f>
        <v/>
      </c>
      <c r="L469" s="38" t="str">
        <f>IF(COUNTIF($R$4:$R$6,C469)&gt;0,C469,IF(ISBLANK(C469),IF(ISBLANK(D469),T(C469),"ERREUR"),"ERREUR"))</f>
        <v/>
      </c>
      <c r="M469" s="49" t="str">
        <f>IF(ISBLANK(D469),IF(ISBLANK(D470),T(D469),"ERREUR"),IF(COUNTIF($T$4:$T$240,SUBSTITUTE(SUBSTITUTE(SUBSTITUTE(SUBSTITUTE(SUBSTITUTE(SUBSTITUTE(UPPER(D469),"Å","A"),"É","E"),"È","E"),"Ê","E"),"Î","I"),"Ï","I"))&gt;0,D469,IF(ISBLANK(D469),T(D469),"ERREUR")))</f>
        <v/>
      </c>
      <c r="N469" s="38" t="str">
        <f>IF(COUNTIF($V$4:$V$6,E469)&gt;0,E469,IF(ISBLANK(E469),IF(ISBLANK(E470),T(E469),"ERREUR"),"ERREUR"))</f>
        <v/>
      </c>
      <c r="O469" s="38" t="str">
        <f>IF(COUNTIF($W$4:$W$5,F469)&gt;0,F469,IF(ISBLANK(F469),IF(ISBLANK(F470),T(F469),"ERREUR"),"ERREUR"))</f>
        <v/>
      </c>
      <c r="P469" s="38" t="str">
        <f>IF(COUNTIF($X$4:$X$8,G469)&gt;0,G469,IF(ISBLANK(G469),IF(ISBLANK(G470),T(G469),"ERREUR"),"ERREUR"))</f>
        <v/>
      </c>
      <c r="Q469" s="38" t="str">
        <f>IF(ISNUMBER(H469),IF(INT(H469)=H469,H469,"ERREUR"),IF(ISBLANK(H469),IF(ISBLANK(H470),T(H469),"ERREUR"),"ERREUR"))</f>
        <v/>
      </c>
      <c r="R469" s="38"/>
      <c r="S469" s="38"/>
      <c r="T469" s="38"/>
      <c r="U469" s="38"/>
      <c r="V469" s="38"/>
      <c r="W469" s="38"/>
      <c r="X469" s="53"/>
      <c r="Y469" s="42"/>
      <c r="Z469" s="42"/>
      <c r="AA469" s="42"/>
    </row>
    <row r="470" ht="13.75" customHeight="1">
      <c r="A470" s="14" t="s">
        <v>140</v>
      </c>
      <c r="B470" s="50"/>
      <c r="C470" s="43"/>
      <c r="D470" s="43"/>
      <c r="E470" s="44"/>
      <c r="F470" s="44"/>
      <c r="G470" s="44"/>
      <c r="H470" s="45"/>
      <c r="I470" s="54"/>
      <c r="J470" s="47" t="str">
        <f>IF(OR(K470="ERREUR",L470="ERREUR",M470="ERREUR",N470="ERREUR",O470="ERREUR",P470="ERREUR",Q470="ERREUR"),"ERREUR",IF(AND(K470="",L470="",M470="",N470="",O470="",P470="",Q470=""),"ligne vide",IF(OR(K470="",L470="",M470="",N470="",O470="",P470="",Q470=""),"ligne incomplète","Valide")))</f>
        <v xml:space="preserve">ligne vide</v>
      </c>
      <c r="K470" s="48" t="str">
        <f>IF(ISBLANK(B470),IF(ISBLANK(B471),T(B470),"ERREUR"),IF(ISNUMBER(B470),_xlfn.NUMBERVALUE(B470),IF(ISTEXT(B470),VALUE(B470),"ERREUR")))</f>
        <v/>
      </c>
      <c r="L470" s="38" t="str">
        <f>IF(COUNTIF($R$4:$R$6,C470)&gt;0,C470,IF(ISBLANK(C470),IF(ISBLANK(D470),T(C470),"ERREUR"),"ERREUR"))</f>
        <v/>
      </c>
      <c r="M470" s="49" t="str">
        <f>IF(ISBLANK(D470),IF(ISBLANK(D471),T(D470),"ERREUR"),IF(COUNTIF($T$4:$T$240,SUBSTITUTE(SUBSTITUTE(SUBSTITUTE(SUBSTITUTE(SUBSTITUTE(SUBSTITUTE(UPPER(D470),"Å","A"),"É","E"),"È","E"),"Ê","E"),"Î","I"),"Ï","I"))&gt;0,D470,IF(ISBLANK(D470),T(D470),"ERREUR")))</f>
        <v/>
      </c>
      <c r="N470" s="38" t="str">
        <f>IF(COUNTIF($V$4:$V$6,E470)&gt;0,E470,IF(ISBLANK(E470),IF(ISBLANK(E471),T(E470),"ERREUR"),"ERREUR"))</f>
        <v/>
      </c>
      <c r="O470" s="38" t="str">
        <f>IF(COUNTIF($W$4:$W$5,F470)&gt;0,F470,IF(ISBLANK(F470),IF(ISBLANK(F471),T(F470),"ERREUR"),"ERREUR"))</f>
        <v/>
      </c>
      <c r="P470" s="38" t="str">
        <f>IF(COUNTIF($X$4:$X$8,G470)&gt;0,G470,IF(ISBLANK(G470),IF(ISBLANK(G471),T(G470),"ERREUR"),"ERREUR"))</f>
        <v/>
      </c>
      <c r="Q470" s="38" t="str">
        <f>IF(ISNUMBER(H470),IF(INT(H470)=H470,H470,"ERREUR"),IF(ISBLANK(H470),IF(ISBLANK(H471),T(H470),"ERREUR"),"ERREUR"))</f>
        <v/>
      </c>
      <c r="R470" s="38"/>
      <c r="S470" s="38"/>
      <c r="T470" s="38"/>
      <c r="U470" s="38"/>
      <c r="V470" s="38"/>
      <c r="W470" s="38"/>
      <c r="X470" s="53"/>
      <c r="Y470" s="42"/>
      <c r="Z470" s="42"/>
      <c r="AA470" s="42"/>
    </row>
    <row r="471" ht="13.75" customHeight="1">
      <c r="A471" s="14" t="s">
        <v>140</v>
      </c>
      <c r="B471" s="50"/>
      <c r="C471" s="43"/>
      <c r="D471" s="43"/>
      <c r="E471" s="44"/>
      <c r="F471" s="44"/>
      <c r="G471" s="44"/>
      <c r="H471" s="45"/>
      <c r="I471" s="54"/>
      <c r="J471" s="47" t="str">
        <f>IF(OR(K471="ERREUR",L471="ERREUR",M471="ERREUR",N471="ERREUR",O471="ERREUR",P471="ERREUR",Q471="ERREUR"),"ERREUR",IF(AND(K471="",L471="",M471="",N471="",O471="",P471="",Q471=""),"ligne vide",IF(OR(K471="",L471="",M471="",N471="",O471="",P471="",Q471=""),"ligne incomplète","Valide")))</f>
        <v xml:space="preserve">ligne vide</v>
      </c>
      <c r="K471" s="48" t="str">
        <f>IF(ISBLANK(B471),IF(ISBLANK(B472),T(B471),"ERREUR"),IF(ISNUMBER(B471),_xlfn.NUMBERVALUE(B471),IF(ISTEXT(B471),VALUE(B471),"ERREUR")))</f>
        <v/>
      </c>
      <c r="L471" s="38" t="str">
        <f>IF(COUNTIF($R$4:$R$6,C471)&gt;0,C471,IF(ISBLANK(C471),IF(ISBLANK(D471),T(C471),"ERREUR"),"ERREUR"))</f>
        <v/>
      </c>
      <c r="M471" s="49" t="str">
        <f>IF(ISBLANK(D471),IF(ISBLANK(D472),T(D471),"ERREUR"),IF(COUNTIF($T$4:$T$240,SUBSTITUTE(SUBSTITUTE(SUBSTITUTE(SUBSTITUTE(SUBSTITUTE(SUBSTITUTE(UPPER(D471),"Å","A"),"É","E"),"È","E"),"Ê","E"),"Î","I"),"Ï","I"))&gt;0,D471,IF(ISBLANK(D471),T(D471),"ERREUR")))</f>
        <v/>
      </c>
      <c r="N471" s="38" t="str">
        <f>IF(COUNTIF($V$4:$V$6,E471)&gt;0,E471,IF(ISBLANK(E471),IF(ISBLANK(E472),T(E471),"ERREUR"),"ERREUR"))</f>
        <v/>
      </c>
      <c r="O471" s="38" t="str">
        <f>IF(COUNTIF($W$4:$W$5,F471)&gt;0,F471,IF(ISBLANK(F471),IF(ISBLANK(F472),T(F471),"ERREUR"),"ERREUR"))</f>
        <v/>
      </c>
      <c r="P471" s="38" t="str">
        <f>IF(COUNTIF($X$4:$X$8,G471)&gt;0,G471,IF(ISBLANK(G471),IF(ISBLANK(G472),T(G471),"ERREUR"),"ERREUR"))</f>
        <v/>
      </c>
      <c r="Q471" s="38" t="str">
        <f>IF(ISNUMBER(H471),IF(INT(H471)=H471,H471,"ERREUR"),IF(ISBLANK(H471),IF(ISBLANK(H472),T(H471),"ERREUR"),"ERREUR"))</f>
        <v/>
      </c>
      <c r="R471" s="38"/>
      <c r="S471" s="38"/>
      <c r="T471" s="38"/>
      <c r="U471" s="38"/>
      <c r="V471" s="38"/>
      <c r="W471" s="38"/>
      <c r="X471" s="53"/>
      <c r="Y471" s="42"/>
      <c r="Z471" s="42"/>
      <c r="AA471" s="42"/>
    </row>
    <row r="472" ht="13.75" customHeight="1">
      <c r="A472" s="14" t="s">
        <v>140</v>
      </c>
      <c r="B472" s="50"/>
      <c r="C472" s="43"/>
      <c r="D472" s="43"/>
      <c r="E472" s="44"/>
      <c r="F472" s="44"/>
      <c r="G472" s="44"/>
      <c r="H472" s="45"/>
      <c r="I472" s="54"/>
      <c r="J472" s="47" t="str">
        <f>IF(OR(K472="ERREUR",L472="ERREUR",M472="ERREUR",N472="ERREUR",O472="ERREUR",P472="ERREUR",Q472="ERREUR"),"ERREUR",IF(AND(K472="",L472="",M472="",N472="",O472="",P472="",Q472=""),"ligne vide",IF(OR(K472="",L472="",M472="",N472="",O472="",P472="",Q472=""),"ligne incomplète","Valide")))</f>
        <v xml:space="preserve">ligne vide</v>
      </c>
      <c r="K472" s="48" t="str">
        <f>IF(ISBLANK(B472),IF(ISBLANK(B473),T(B472),"ERREUR"),IF(ISNUMBER(B472),_xlfn.NUMBERVALUE(B472),IF(ISTEXT(B472),VALUE(B472),"ERREUR")))</f>
        <v/>
      </c>
      <c r="L472" s="38" t="str">
        <f>IF(COUNTIF($R$4:$R$6,C472)&gt;0,C472,IF(ISBLANK(C472),IF(ISBLANK(D472),T(C472),"ERREUR"),"ERREUR"))</f>
        <v/>
      </c>
      <c r="M472" s="49" t="str">
        <f>IF(ISBLANK(D472),IF(ISBLANK(D473),T(D472),"ERREUR"),IF(COUNTIF($T$4:$T$240,SUBSTITUTE(SUBSTITUTE(SUBSTITUTE(SUBSTITUTE(SUBSTITUTE(SUBSTITUTE(UPPER(D472),"Å","A"),"É","E"),"È","E"),"Ê","E"),"Î","I"),"Ï","I"))&gt;0,D472,IF(ISBLANK(D472),T(D472),"ERREUR")))</f>
        <v/>
      </c>
      <c r="N472" s="38" t="str">
        <f>IF(COUNTIF($V$4:$V$6,E472)&gt;0,E472,IF(ISBLANK(E472),IF(ISBLANK(E473),T(E472),"ERREUR"),"ERREUR"))</f>
        <v/>
      </c>
      <c r="O472" s="38" t="str">
        <f>IF(COUNTIF($W$4:$W$5,F472)&gt;0,F472,IF(ISBLANK(F472),IF(ISBLANK(F473),T(F472),"ERREUR"),"ERREUR"))</f>
        <v/>
      </c>
      <c r="P472" s="38" t="str">
        <f>IF(COUNTIF($X$4:$X$8,G472)&gt;0,G472,IF(ISBLANK(G472),IF(ISBLANK(G473),T(G472),"ERREUR"),"ERREUR"))</f>
        <v/>
      </c>
      <c r="Q472" s="38" t="str">
        <f>IF(ISNUMBER(H472),IF(INT(H472)=H472,H472,"ERREUR"),IF(ISBLANK(H472),IF(ISBLANK(H473),T(H472),"ERREUR"),"ERREUR"))</f>
        <v/>
      </c>
      <c r="R472" s="38"/>
      <c r="S472" s="38"/>
      <c r="T472" s="38"/>
      <c r="U472" s="38"/>
      <c r="V472" s="38"/>
      <c r="W472" s="38"/>
      <c r="X472" s="53"/>
      <c r="Y472" s="42"/>
      <c r="Z472" s="42"/>
      <c r="AA472" s="42"/>
    </row>
    <row r="473" ht="13.75" customHeight="1">
      <c r="A473" s="14" t="s">
        <v>140</v>
      </c>
      <c r="B473" s="50"/>
      <c r="C473" s="43"/>
      <c r="D473" s="43"/>
      <c r="E473" s="44"/>
      <c r="F473" s="44"/>
      <c r="G473" s="44"/>
      <c r="H473" s="45"/>
      <c r="I473" s="54"/>
      <c r="J473" s="47" t="str">
        <f>IF(OR(K473="ERREUR",L473="ERREUR",M473="ERREUR",N473="ERREUR",O473="ERREUR",P473="ERREUR",Q473="ERREUR"),"ERREUR",IF(AND(K473="",L473="",M473="",N473="",O473="",P473="",Q473=""),"ligne vide",IF(OR(K473="",L473="",M473="",N473="",O473="",P473="",Q473=""),"ligne incomplète","Valide")))</f>
        <v xml:space="preserve">ligne vide</v>
      </c>
      <c r="K473" s="48" t="str">
        <f>IF(ISBLANK(B473),IF(ISBLANK(B474),T(B473),"ERREUR"),IF(ISNUMBER(B473),_xlfn.NUMBERVALUE(B473),IF(ISTEXT(B473),VALUE(B473),"ERREUR")))</f>
        <v/>
      </c>
      <c r="L473" s="38" t="str">
        <f>IF(COUNTIF($R$4:$R$6,C473)&gt;0,C473,IF(ISBLANK(C473),IF(ISBLANK(D473),T(C473),"ERREUR"),"ERREUR"))</f>
        <v/>
      </c>
      <c r="M473" s="49" t="str">
        <f>IF(ISBLANK(D473),IF(ISBLANK(D474),T(D473),"ERREUR"),IF(COUNTIF($T$4:$T$240,SUBSTITUTE(SUBSTITUTE(SUBSTITUTE(SUBSTITUTE(SUBSTITUTE(SUBSTITUTE(UPPER(D473),"Å","A"),"É","E"),"È","E"),"Ê","E"),"Î","I"),"Ï","I"))&gt;0,D473,IF(ISBLANK(D473),T(D473),"ERREUR")))</f>
        <v/>
      </c>
      <c r="N473" s="38" t="str">
        <f>IF(COUNTIF($V$4:$V$6,E473)&gt;0,E473,IF(ISBLANK(E473),IF(ISBLANK(E474),T(E473),"ERREUR"),"ERREUR"))</f>
        <v/>
      </c>
      <c r="O473" s="38" t="str">
        <f>IF(COUNTIF($W$4:$W$5,F473)&gt;0,F473,IF(ISBLANK(F473),IF(ISBLANK(F474),T(F473),"ERREUR"),"ERREUR"))</f>
        <v/>
      </c>
      <c r="P473" s="38" t="str">
        <f>IF(COUNTIF($X$4:$X$8,G473)&gt;0,G473,IF(ISBLANK(G473),IF(ISBLANK(G474),T(G473),"ERREUR"),"ERREUR"))</f>
        <v/>
      </c>
      <c r="Q473" s="38" t="str">
        <f>IF(ISNUMBER(H473),IF(INT(H473)=H473,H473,"ERREUR"),IF(ISBLANK(H473),IF(ISBLANK(H474),T(H473),"ERREUR"),"ERREUR"))</f>
        <v/>
      </c>
      <c r="R473" s="38"/>
      <c r="S473" s="38"/>
      <c r="T473" s="38"/>
      <c r="U473" s="38"/>
      <c r="V473" s="38"/>
      <c r="W473" s="38"/>
      <c r="X473" s="53"/>
      <c r="Y473" s="42"/>
      <c r="Z473" s="42"/>
      <c r="AA473" s="42"/>
    </row>
    <row r="474" ht="13.75" customHeight="1">
      <c r="A474" s="14" t="s">
        <v>140</v>
      </c>
      <c r="B474" s="50"/>
      <c r="C474" s="43"/>
      <c r="D474" s="43"/>
      <c r="E474" s="44"/>
      <c r="F474" s="44"/>
      <c r="G474" s="44"/>
      <c r="H474" s="45"/>
      <c r="I474" s="54"/>
      <c r="J474" s="47" t="str">
        <f>IF(OR(K474="ERREUR",L474="ERREUR",M474="ERREUR",N474="ERREUR",O474="ERREUR",P474="ERREUR",Q474="ERREUR"),"ERREUR",IF(AND(K474="",L474="",M474="",N474="",O474="",P474="",Q474=""),"ligne vide",IF(OR(K474="",L474="",M474="",N474="",O474="",P474="",Q474=""),"ligne incomplète","Valide")))</f>
        <v xml:space="preserve">ligne vide</v>
      </c>
      <c r="K474" s="48" t="str">
        <f>IF(ISBLANK(B474),IF(ISBLANK(B475),T(B474),"ERREUR"),IF(ISNUMBER(B474),_xlfn.NUMBERVALUE(B474),IF(ISTEXT(B474),VALUE(B474),"ERREUR")))</f>
        <v/>
      </c>
      <c r="L474" s="38" t="str">
        <f>IF(COUNTIF($R$4:$R$6,C474)&gt;0,C474,IF(ISBLANK(C474),IF(ISBLANK(D474),T(C474),"ERREUR"),"ERREUR"))</f>
        <v/>
      </c>
      <c r="M474" s="49" t="str">
        <f>IF(ISBLANK(D474),IF(ISBLANK(D475),T(D474),"ERREUR"),IF(COUNTIF($T$4:$T$240,SUBSTITUTE(SUBSTITUTE(SUBSTITUTE(SUBSTITUTE(SUBSTITUTE(SUBSTITUTE(UPPER(D474),"Å","A"),"É","E"),"È","E"),"Ê","E"),"Î","I"),"Ï","I"))&gt;0,D474,IF(ISBLANK(D474),T(D474),"ERREUR")))</f>
        <v/>
      </c>
      <c r="N474" s="38" t="str">
        <f>IF(COUNTIF($V$4:$V$6,E474)&gt;0,E474,IF(ISBLANK(E474),IF(ISBLANK(E475),T(E474),"ERREUR"),"ERREUR"))</f>
        <v/>
      </c>
      <c r="O474" s="38" t="str">
        <f>IF(COUNTIF($W$4:$W$5,F474)&gt;0,F474,IF(ISBLANK(F474),IF(ISBLANK(F475),T(F474),"ERREUR"),"ERREUR"))</f>
        <v/>
      </c>
      <c r="P474" s="38" t="str">
        <f>IF(COUNTIF($X$4:$X$8,G474)&gt;0,G474,IF(ISBLANK(G474),IF(ISBLANK(G475),T(G474),"ERREUR"),"ERREUR"))</f>
        <v/>
      </c>
      <c r="Q474" s="38" t="str">
        <f>IF(ISNUMBER(H474),IF(INT(H474)=H474,H474,"ERREUR"),IF(ISBLANK(H474),IF(ISBLANK(H475),T(H474),"ERREUR"),"ERREUR"))</f>
        <v/>
      </c>
      <c r="R474" s="38"/>
      <c r="S474" s="38"/>
      <c r="T474" s="38"/>
      <c r="U474" s="38"/>
      <c r="V474" s="38"/>
      <c r="W474" s="38"/>
      <c r="X474" s="53"/>
      <c r="Y474" s="42"/>
      <c r="Z474" s="42"/>
      <c r="AA474" s="42"/>
    </row>
    <row r="475" ht="13.75" customHeight="1">
      <c r="A475" s="14" t="s">
        <v>140</v>
      </c>
      <c r="B475" s="50"/>
      <c r="C475" s="43"/>
      <c r="D475" s="43"/>
      <c r="E475" s="44"/>
      <c r="F475" s="44"/>
      <c r="G475" s="44"/>
      <c r="H475" s="45"/>
      <c r="I475" s="54"/>
      <c r="J475" s="47" t="str">
        <f>IF(OR(K475="ERREUR",L475="ERREUR",M475="ERREUR",N475="ERREUR",O475="ERREUR",P475="ERREUR",Q475="ERREUR"),"ERREUR",IF(AND(K475="",L475="",M475="",N475="",O475="",P475="",Q475=""),"ligne vide",IF(OR(K475="",L475="",M475="",N475="",O475="",P475="",Q475=""),"ligne incomplète","Valide")))</f>
        <v xml:space="preserve">ligne vide</v>
      </c>
      <c r="K475" s="48" t="str">
        <f>IF(ISBLANK(B475),IF(ISBLANK(B476),T(B475),"ERREUR"),IF(ISNUMBER(B475),_xlfn.NUMBERVALUE(B475),IF(ISTEXT(B475),VALUE(B475),"ERREUR")))</f>
        <v/>
      </c>
      <c r="L475" s="38" t="str">
        <f>IF(COUNTIF($R$4:$R$6,C475)&gt;0,C475,IF(ISBLANK(C475),IF(ISBLANK(D475),T(C475),"ERREUR"),"ERREUR"))</f>
        <v/>
      </c>
      <c r="M475" s="49" t="str">
        <f>IF(ISBLANK(D475),IF(ISBLANK(D476),T(D475),"ERREUR"),IF(COUNTIF($T$4:$T$240,SUBSTITUTE(SUBSTITUTE(SUBSTITUTE(SUBSTITUTE(SUBSTITUTE(SUBSTITUTE(UPPER(D475),"Å","A"),"É","E"),"È","E"),"Ê","E"),"Î","I"),"Ï","I"))&gt;0,D475,IF(ISBLANK(D475),T(D475),"ERREUR")))</f>
        <v/>
      </c>
      <c r="N475" s="38" t="str">
        <f>IF(COUNTIF($V$4:$V$6,E475)&gt;0,E475,IF(ISBLANK(E475),IF(ISBLANK(E476),T(E475),"ERREUR"),"ERREUR"))</f>
        <v/>
      </c>
      <c r="O475" s="38" t="str">
        <f>IF(COUNTIF($W$4:$W$5,F475)&gt;0,F475,IF(ISBLANK(F475),IF(ISBLANK(F476),T(F475),"ERREUR"),"ERREUR"))</f>
        <v/>
      </c>
      <c r="P475" s="38" t="str">
        <f>IF(COUNTIF($X$4:$X$8,G475)&gt;0,G475,IF(ISBLANK(G475),IF(ISBLANK(G476),T(G475),"ERREUR"),"ERREUR"))</f>
        <v/>
      </c>
      <c r="Q475" s="38" t="str">
        <f>IF(ISNUMBER(H475),IF(INT(H475)=H475,H475,"ERREUR"),IF(ISBLANK(H475),IF(ISBLANK(H476),T(H475),"ERREUR"),"ERREUR"))</f>
        <v/>
      </c>
      <c r="R475" s="38"/>
      <c r="S475" s="38"/>
      <c r="T475" s="38"/>
      <c r="U475" s="38"/>
      <c r="V475" s="38"/>
      <c r="W475" s="38"/>
      <c r="X475" s="53"/>
      <c r="Y475" s="42"/>
      <c r="Z475" s="42"/>
      <c r="AA475" s="42"/>
    </row>
    <row r="476" ht="13.75" customHeight="1">
      <c r="A476" s="14" t="s">
        <v>140</v>
      </c>
      <c r="B476" s="50"/>
      <c r="C476" s="43"/>
      <c r="D476" s="43"/>
      <c r="E476" s="44"/>
      <c r="F476" s="44"/>
      <c r="G476" s="44"/>
      <c r="H476" s="45"/>
      <c r="I476" s="54"/>
      <c r="J476" s="47" t="str">
        <f>IF(OR(K476="ERREUR",L476="ERREUR",M476="ERREUR",N476="ERREUR",O476="ERREUR",P476="ERREUR",Q476="ERREUR"),"ERREUR",IF(AND(K476="",L476="",M476="",N476="",O476="",P476="",Q476=""),"ligne vide",IF(OR(K476="",L476="",M476="",N476="",O476="",P476="",Q476=""),"ligne incomplète","Valide")))</f>
        <v xml:space="preserve">ligne vide</v>
      </c>
      <c r="K476" s="48" t="str">
        <f>IF(ISBLANK(B476),IF(ISBLANK(B477),T(B476),"ERREUR"),IF(ISNUMBER(B476),_xlfn.NUMBERVALUE(B476),IF(ISTEXT(B476),VALUE(B476),"ERREUR")))</f>
        <v/>
      </c>
      <c r="L476" s="38" t="str">
        <f>IF(COUNTIF($R$4:$R$6,C476)&gt;0,C476,IF(ISBLANK(C476),IF(ISBLANK(D476),T(C476),"ERREUR"),"ERREUR"))</f>
        <v/>
      </c>
      <c r="M476" s="49" t="str">
        <f>IF(ISBLANK(D476),IF(ISBLANK(D477),T(D476),"ERREUR"),IF(COUNTIF($T$4:$T$240,SUBSTITUTE(SUBSTITUTE(SUBSTITUTE(SUBSTITUTE(SUBSTITUTE(SUBSTITUTE(UPPER(D476),"Å","A"),"É","E"),"È","E"),"Ê","E"),"Î","I"),"Ï","I"))&gt;0,D476,IF(ISBLANK(D476),T(D476),"ERREUR")))</f>
        <v/>
      </c>
      <c r="N476" s="38" t="str">
        <f>IF(COUNTIF($V$4:$V$6,E476)&gt;0,E476,IF(ISBLANK(E476),IF(ISBLANK(E477),T(E476),"ERREUR"),"ERREUR"))</f>
        <v/>
      </c>
      <c r="O476" s="38" t="str">
        <f>IF(COUNTIF($W$4:$W$5,F476)&gt;0,F476,IF(ISBLANK(F476),IF(ISBLANK(F477),T(F476),"ERREUR"),"ERREUR"))</f>
        <v/>
      </c>
      <c r="P476" s="38" t="str">
        <f>IF(COUNTIF($X$4:$X$8,G476)&gt;0,G476,IF(ISBLANK(G476),IF(ISBLANK(G477),T(G476),"ERREUR"),"ERREUR"))</f>
        <v/>
      </c>
      <c r="Q476" s="38" t="str">
        <f>IF(ISNUMBER(H476),IF(INT(H476)=H476,H476,"ERREUR"),IF(ISBLANK(H476),IF(ISBLANK(H477),T(H476),"ERREUR"),"ERREUR"))</f>
        <v/>
      </c>
      <c r="R476" s="38"/>
      <c r="S476" s="38"/>
      <c r="T476" s="38"/>
      <c r="U476" s="38"/>
      <c r="V476" s="38"/>
      <c r="W476" s="38"/>
      <c r="X476" s="53"/>
      <c r="Y476" s="42"/>
      <c r="Z476" s="42"/>
      <c r="AA476" s="42"/>
    </row>
    <row r="477" ht="13.75" customHeight="1">
      <c r="A477" s="14" t="s">
        <v>140</v>
      </c>
      <c r="B477" s="50"/>
      <c r="C477" s="43"/>
      <c r="D477" s="43"/>
      <c r="E477" s="44"/>
      <c r="F477" s="44"/>
      <c r="G477" s="44"/>
      <c r="H477" s="45"/>
      <c r="I477" s="54"/>
      <c r="J477" s="47" t="str">
        <f>IF(OR(K477="ERREUR",L477="ERREUR",M477="ERREUR",N477="ERREUR",O477="ERREUR",P477="ERREUR",Q477="ERREUR"),"ERREUR",IF(AND(K477="",L477="",M477="",N477="",O477="",P477="",Q477=""),"ligne vide",IF(OR(K477="",L477="",M477="",N477="",O477="",P477="",Q477=""),"ligne incomplète","Valide")))</f>
        <v xml:space="preserve">ligne vide</v>
      </c>
      <c r="K477" s="48" t="str">
        <f>IF(ISBLANK(B477),IF(ISBLANK(B478),T(B477),"ERREUR"),IF(ISNUMBER(B477),_xlfn.NUMBERVALUE(B477),IF(ISTEXT(B477),VALUE(B477),"ERREUR")))</f>
        <v/>
      </c>
      <c r="L477" s="38" t="str">
        <f>IF(COUNTIF($R$4:$R$6,C477)&gt;0,C477,IF(ISBLANK(C477),IF(ISBLANK(D477),T(C477),"ERREUR"),"ERREUR"))</f>
        <v/>
      </c>
      <c r="M477" s="49" t="str">
        <f>IF(ISBLANK(D477),IF(ISBLANK(D478),T(D477),"ERREUR"),IF(COUNTIF($T$4:$T$240,SUBSTITUTE(SUBSTITUTE(SUBSTITUTE(SUBSTITUTE(SUBSTITUTE(SUBSTITUTE(UPPER(D477),"Å","A"),"É","E"),"È","E"),"Ê","E"),"Î","I"),"Ï","I"))&gt;0,D477,IF(ISBLANK(D477),T(D477),"ERREUR")))</f>
        <v/>
      </c>
      <c r="N477" s="38" t="str">
        <f>IF(COUNTIF($V$4:$V$6,E477)&gt;0,E477,IF(ISBLANK(E477),IF(ISBLANK(E478),T(E477),"ERREUR"),"ERREUR"))</f>
        <v/>
      </c>
      <c r="O477" s="38" t="str">
        <f>IF(COUNTIF($W$4:$W$5,F477)&gt;0,F477,IF(ISBLANK(F477),IF(ISBLANK(F478),T(F477),"ERREUR"),"ERREUR"))</f>
        <v/>
      </c>
      <c r="P477" s="38" t="str">
        <f>IF(COUNTIF($X$4:$X$8,G477)&gt;0,G477,IF(ISBLANK(G477),IF(ISBLANK(G478),T(G477),"ERREUR"),"ERREUR"))</f>
        <v/>
      </c>
      <c r="Q477" s="38" t="str">
        <f>IF(ISNUMBER(H477),IF(INT(H477)=H477,H477,"ERREUR"),IF(ISBLANK(H477),IF(ISBLANK(H478),T(H477),"ERREUR"),"ERREUR"))</f>
        <v/>
      </c>
      <c r="R477" s="38"/>
      <c r="S477" s="38"/>
      <c r="T477" s="38"/>
      <c r="U477" s="38"/>
      <c r="V477" s="38"/>
      <c r="W477" s="38"/>
      <c r="X477" s="53"/>
      <c r="Y477" s="42"/>
      <c r="Z477" s="42"/>
      <c r="AA477" s="42"/>
    </row>
    <row r="478" ht="13.75" customHeight="1">
      <c r="A478" s="14" t="s">
        <v>140</v>
      </c>
      <c r="B478" s="50"/>
      <c r="C478" s="43"/>
      <c r="D478" s="43"/>
      <c r="E478" s="44"/>
      <c r="F478" s="44"/>
      <c r="G478" s="44"/>
      <c r="H478" s="45"/>
      <c r="I478" s="54"/>
      <c r="J478" s="47" t="str">
        <f>IF(OR(K478="ERREUR",L478="ERREUR",M478="ERREUR",N478="ERREUR",O478="ERREUR",P478="ERREUR",Q478="ERREUR"),"ERREUR",IF(AND(K478="",L478="",M478="",N478="",O478="",P478="",Q478=""),"ligne vide",IF(OR(K478="",L478="",M478="",N478="",O478="",P478="",Q478=""),"ligne incomplète","Valide")))</f>
        <v xml:space="preserve">ligne vide</v>
      </c>
      <c r="K478" s="48" t="str">
        <f>IF(ISBLANK(B478),IF(ISBLANK(B479),T(B478),"ERREUR"),IF(ISNUMBER(B478),_xlfn.NUMBERVALUE(B478),IF(ISTEXT(B478),VALUE(B478),"ERREUR")))</f>
        <v/>
      </c>
      <c r="L478" s="38" t="str">
        <f>IF(COUNTIF($R$4:$R$6,C478)&gt;0,C478,IF(ISBLANK(C478),IF(ISBLANK(D478),T(C478),"ERREUR"),"ERREUR"))</f>
        <v/>
      </c>
      <c r="M478" s="49" t="str">
        <f>IF(ISBLANK(D478),IF(ISBLANK(D479),T(D478),"ERREUR"),IF(COUNTIF($T$4:$T$240,SUBSTITUTE(SUBSTITUTE(SUBSTITUTE(SUBSTITUTE(SUBSTITUTE(SUBSTITUTE(UPPER(D478),"Å","A"),"É","E"),"È","E"),"Ê","E"),"Î","I"),"Ï","I"))&gt;0,D478,IF(ISBLANK(D478),T(D478),"ERREUR")))</f>
        <v/>
      </c>
      <c r="N478" s="38" t="str">
        <f>IF(COUNTIF($V$4:$V$6,E478)&gt;0,E478,IF(ISBLANK(E478),IF(ISBLANK(E479),T(E478),"ERREUR"),"ERREUR"))</f>
        <v/>
      </c>
      <c r="O478" s="38" t="str">
        <f>IF(COUNTIF($W$4:$W$5,F478)&gt;0,F478,IF(ISBLANK(F478),IF(ISBLANK(F479),T(F478),"ERREUR"),"ERREUR"))</f>
        <v/>
      </c>
      <c r="P478" s="38" t="str">
        <f>IF(COUNTIF($X$4:$X$8,G478)&gt;0,G478,IF(ISBLANK(G478),IF(ISBLANK(G479),T(G478),"ERREUR"),"ERREUR"))</f>
        <v/>
      </c>
      <c r="Q478" s="38" t="str">
        <f>IF(ISNUMBER(H478),IF(INT(H478)=H478,H478,"ERREUR"),IF(ISBLANK(H478),IF(ISBLANK(H479),T(H478),"ERREUR"),"ERREUR"))</f>
        <v/>
      </c>
      <c r="R478" s="38"/>
      <c r="S478" s="38"/>
      <c r="T478" s="38"/>
      <c r="U478" s="38"/>
      <c r="V478" s="38"/>
      <c r="W478" s="38"/>
      <c r="X478" s="53"/>
      <c r="Y478" s="42"/>
      <c r="Z478" s="42"/>
      <c r="AA478" s="42"/>
    </row>
    <row r="479" ht="13.75" customHeight="1">
      <c r="A479" s="14" t="s">
        <v>140</v>
      </c>
      <c r="B479" s="50"/>
      <c r="C479" s="43"/>
      <c r="D479" s="43"/>
      <c r="E479" s="44"/>
      <c r="F479" s="44"/>
      <c r="G479" s="44"/>
      <c r="H479" s="45"/>
      <c r="I479" s="54"/>
      <c r="J479" s="47" t="str">
        <f>IF(OR(K479="ERREUR",L479="ERREUR",M479="ERREUR",N479="ERREUR",O479="ERREUR",P479="ERREUR",Q479="ERREUR"),"ERREUR",IF(AND(K479="",L479="",M479="",N479="",O479="",P479="",Q479=""),"ligne vide",IF(OR(K479="",L479="",M479="",N479="",O479="",P479="",Q479=""),"ligne incomplète","Valide")))</f>
        <v xml:space="preserve">ligne vide</v>
      </c>
      <c r="K479" s="48" t="str">
        <f>IF(ISBLANK(B479),IF(ISBLANK(B480),T(B479),"ERREUR"),IF(ISNUMBER(B479),_xlfn.NUMBERVALUE(B479),IF(ISTEXT(B479),VALUE(B479),"ERREUR")))</f>
        <v/>
      </c>
      <c r="L479" s="38" t="str">
        <f>IF(COUNTIF($R$4:$R$6,C479)&gt;0,C479,IF(ISBLANK(C479),IF(ISBLANK(D479),T(C479),"ERREUR"),"ERREUR"))</f>
        <v/>
      </c>
      <c r="M479" s="49" t="str">
        <f>IF(ISBLANK(D479),IF(ISBLANK(D480),T(D479),"ERREUR"),IF(COUNTIF($T$4:$T$240,SUBSTITUTE(SUBSTITUTE(SUBSTITUTE(SUBSTITUTE(SUBSTITUTE(SUBSTITUTE(UPPER(D479),"Å","A"),"É","E"),"È","E"),"Ê","E"),"Î","I"),"Ï","I"))&gt;0,D479,IF(ISBLANK(D479),T(D479),"ERREUR")))</f>
        <v/>
      </c>
      <c r="N479" s="38" t="str">
        <f>IF(COUNTIF($V$4:$V$6,E479)&gt;0,E479,IF(ISBLANK(E479),IF(ISBLANK(E480),T(E479),"ERREUR"),"ERREUR"))</f>
        <v/>
      </c>
      <c r="O479" s="38" t="str">
        <f>IF(COUNTIF($W$4:$W$5,F479)&gt;0,F479,IF(ISBLANK(F479),IF(ISBLANK(F480),T(F479),"ERREUR"),"ERREUR"))</f>
        <v/>
      </c>
      <c r="P479" s="38" t="str">
        <f>IF(COUNTIF($X$4:$X$8,G479)&gt;0,G479,IF(ISBLANK(G479),IF(ISBLANK(G480),T(G479),"ERREUR"),"ERREUR"))</f>
        <v/>
      </c>
      <c r="Q479" s="38" t="str">
        <f>IF(ISNUMBER(H479),IF(INT(H479)=H479,H479,"ERREUR"),IF(ISBLANK(H479),IF(ISBLANK(H480),T(H479),"ERREUR"),"ERREUR"))</f>
        <v/>
      </c>
      <c r="R479" s="38"/>
      <c r="S479" s="38"/>
      <c r="T479" s="38"/>
      <c r="U479" s="38"/>
      <c r="V479" s="38"/>
      <c r="W479" s="38"/>
      <c r="X479" s="53"/>
      <c r="Y479" s="42"/>
      <c r="Z479" s="42"/>
      <c r="AA479" s="42"/>
    </row>
    <row r="480" ht="13.75" customHeight="1">
      <c r="A480" s="14" t="s">
        <v>140</v>
      </c>
      <c r="B480" s="50"/>
      <c r="C480" s="43"/>
      <c r="D480" s="43"/>
      <c r="E480" s="44"/>
      <c r="F480" s="44"/>
      <c r="G480" s="44"/>
      <c r="H480" s="45"/>
      <c r="I480" s="54"/>
      <c r="J480" s="47" t="str">
        <f>IF(OR(K480="ERREUR",L480="ERREUR",M480="ERREUR",N480="ERREUR",O480="ERREUR",P480="ERREUR",Q480="ERREUR"),"ERREUR",IF(AND(K480="",L480="",M480="",N480="",O480="",P480="",Q480=""),"ligne vide",IF(OR(K480="",L480="",M480="",N480="",O480="",P480="",Q480=""),"ligne incomplète","Valide")))</f>
        <v xml:space="preserve">ligne vide</v>
      </c>
      <c r="K480" s="48" t="str">
        <f>IF(ISBLANK(B480),IF(ISBLANK(B481),T(B480),"ERREUR"),IF(ISNUMBER(B480),_xlfn.NUMBERVALUE(B480),IF(ISTEXT(B480),VALUE(B480),"ERREUR")))</f>
        <v/>
      </c>
      <c r="L480" s="38" t="str">
        <f>IF(COUNTIF($R$4:$R$6,C480)&gt;0,C480,IF(ISBLANK(C480),IF(ISBLANK(D480),T(C480),"ERREUR"),"ERREUR"))</f>
        <v/>
      </c>
      <c r="M480" s="49" t="str">
        <f>IF(ISBLANK(D480),IF(ISBLANK(D481),T(D480),"ERREUR"),IF(COUNTIF($T$4:$T$240,SUBSTITUTE(SUBSTITUTE(SUBSTITUTE(SUBSTITUTE(SUBSTITUTE(SUBSTITUTE(UPPER(D480),"Å","A"),"É","E"),"È","E"),"Ê","E"),"Î","I"),"Ï","I"))&gt;0,D480,IF(ISBLANK(D480),T(D480),"ERREUR")))</f>
        <v/>
      </c>
      <c r="N480" s="38" t="str">
        <f>IF(COUNTIF($V$4:$V$6,E480)&gt;0,E480,IF(ISBLANK(E480),IF(ISBLANK(E481),T(E480),"ERREUR"),"ERREUR"))</f>
        <v/>
      </c>
      <c r="O480" s="38" t="str">
        <f>IF(COUNTIF($W$4:$W$5,F480)&gt;0,F480,IF(ISBLANK(F480),IF(ISBLANK(F481),T(F480),"ERREUR"),"ERREUR"))</f>
        <v/>
      </c>
      <c r="P480" s="38" t="str">
        <f>IF(COUNTIF($X$4:$X$8,G480)&gt;0,G480,IF(ISBLANK(G480),IF(ISBLANK(G481),T(G480),"ERREUR"),"ERREUR"))</f>
        <v/>
      </c>
      <c r="Q480" s="38" t="str">
        <f>IF(ISNUMBER(H480),IF(INT(H480)=H480,H480,"ERREUR"),IF(ISBLANK(H480),IF(ISBLANK(H481),T(H480),"ERREUR"),"ERREUR"))</f>
        <v/>
      </c>
      <c r="R480" s="38"/>
      <c r="S480" s="38"/>
      <c r="T480" s="38"/>
      <c r="U480" s="38"/>
      <c r="V480" s="38"/>
      <c r="W480" s="38"/>
      <c r="X480" s="53"/>
      <c r="Y480" s="42"/>
      <c r="Z480" s="42"/>
      <c r="AA480" s="42"/>
    </row>
    <row r="481" ht="13.75" customHeight="1">
      <c r="A481" s="14" t="s">
        <v>140</v>
      </c>
      <c r="B481" s="50"/>
      <c r="C481" s="43"/>
      <c r="D481" s="43"/>
      <c r="E481" s="44"/>
      <c r="F481" s="44"/>
      <c r="G481" s="44"/>
      <c r="H481" s="45"/>
      <c r="I481" s="54"/>
      <c r="J481" s="47" t="str">
        <f>IF(OR(K481="ERREUR",L481="ERREUR",M481="ERREUR",N481="ERREUR",O481="ERREUR",P481="ERREUR",Q481="ERREUR"),"ERREUR",IF(AND(K481="",L481="",M481="",N481="",O481="",P481="",Q481=""),"ligne vide",IF(OR(K481="",L481="",M481="",N481="",O481="",P481="",Q481=""),"ligne incomplète","Valide")))</f>
        <v xml:space="preserve">ligne vide</v>
      </c>
      <c r="K481" s="48" t="str">
        <f>IF(ISBLANK(B481),IF(ISBLANK(B482),T(B481),"ERREUR"),IF(ISNUMBER(B481),_xlfn.NUMBERVALUE(B481),IF(ISTEXT(B481),VALUE(B481),"ERREUR")))</f>
        <v/>
      </c>
      <c r="L481" s="38" t="str">
        <f>IF(COUNTIF($R$4:$R$6,C481)&gt;0,C481,IF(ISBLANK(C481),IF(ISBLANK(D481),T(C481),"ERREUR"),"ERREUR"))</f>
        <v/>
      </c>
      <c r="M481" s="49" t="str">
        <f>IF(ISBLANK(D481),IF(ISBLANK(D482),T(D481),"ERREUR"),IF(COUNTIF($T$4:$T$240,SUBSTITUTE(SUBSTITUTE(SUBSTITUTE(SUBSTITUTE(SUBSTITUTE(SUBSTITUTE(UPPER(D481),"Å","A"),"É","E"),"È","E"),"Ê","E"),"Î","I"),"Ï","I"))&gt;0,D481,IF(ISBLANK(D481),T(D481),"ERREUR")))</f>
        <v/>
      </c>
      <c r="N481" s="38" t="str">
        <f>IF(COUNTIF($V$4:$V$6,E481)&gt;0,E481,IF(ISBLANK(E481),IF(ISBLANK(E482),T(E481),"ERREUR"),"ERREUR"))</f>
        <v/>
      </c>
      <c r="O481" s="38" t="str">
        <f>IF(COUNTIF($W$4:$W$5,F481)&gt;0,F481,IF(ISBLANK(F481),IF(ISBLANK(F482),T(F481),"ERREUR"),"ERREUR"))</f>
        <v/>
      </c>
      <c r="P481" s="38" t="str">
        <f>IF(COUNTIF($X$4:$X$8,G481)&gt;0,G481,IF(ISBLANK(G481),IF(ISBLANK(G482),T(G481),"ERREUR"),"ERREUR"))</f>
        <v/>
      </c>
      <c r="Q481" s="38" t="str">
        <f>IF(ISNUMBER(H481),IF(INT(H481)=H481,H481,"ERREUR"),IF(ISBLANK(H481),IF(ISBLANK(H482),T(H481),"ERREUR"),"ERREUR"))</f>
        <v/>
      </c>
      <c r="R481" s="38"/>
      <c r="S481" s="38"/>
      <c r="T481" s="38"/>
      <c r="U481" s="38"/>
      <c r="V481" s="38"/>
      <c r="W481" s="38"/>
      <c r="X481" s="53"/>
      <c r="Y481" s="42"/>
      <c r="Z481" s="42"/>
      <c r="AA481" s="42"/>
    </row>
    <row r="482" ht="13.75" customHeight="1">
      <c r="A482" s="14" t="s">
        <v>140</v>
      </c>
      <c r="B482" s="50"/>
      <c r="C482" s="43"/>
      <c r="D482" s="43"/>
      <c r="E482" s="44"/>
      <c r="F482" s="44"/>
      <c r="G482" s="44"/>
      <c r="H482" s="45"/>
      <c r="I482" s="54"/>
      <c r="J482" s="47" t="str">
        <f>IF(OR(K482="ERREUR",L482="ERREUR",M482="ERREUR",N482="ERREUR",O482="ERREUR",P482="ERREUR",Q482="ERREUR"),"ERREUR",IF(AND(K482="",L482="",M482="",N482="",O482="",P482="",Q482=""),"ligne vide",IF(OR(K482="",L482="",M482="",N482="",O482="",P482="",Q482=""),"ligne incomplète","Valide")))</f>
        <v xml:space="preserve">ligne vide</v>
      </c>
      <c r="K482" s="48" t="str">
        <f>IF(ISBLANK(B482),IF(ISBLANK(B483),T(B482),"ERREUR"),IF(ISNUMBER(B482),_xlfn.NUMBERVALUE(B482),IF(ISTEXT(B482),VALUE(B482),"ERREUR")))</f>
        <v/>
      </c>
      <c r="L482" s="38" t="str">
        <f>IF(COUNTIF($R$4:$R$6,C482)&gt;0,C482,IF(ISBLANK(C482),IF(ISBLANK(D482),T(C482),"ERREUR"),"ERREUR"))</f>
        <v/>
      </c>
      <c r="M482" s="49" t="str">
        <f>IF(ISBLANK(D482),IF(ISBLANK(D483),T(D482),"ERREUR"),IF(COUNTIF($T$4:$T$240,SUBSTITUTE(SUBSTITUTE(SUBSTITUTE(SUBSTITUTE(SUBSTITUTE(SUBSTITUTE(UPPER(D482),"Å","A"),"É","E"),"È","E"),"Ê","E"),"Î","I"),"Ï","I"))&gt;0,D482,IF(ISBLANK(D482),T(D482),"ERREUR")))</f>
        <v/>
      </c>
      <c r="N482" s="38" t="str">
        <f>IF(COUNTIF($V$4:$V$6,E482)&gt;0,E482,IF(ISBLANK(E482),IF(ISBLANK(E483),T(E482),"ERREUR"),"ERREUR"))</f>
        <v/>
      </c>
      <c r="O482" s="38" t="str">
        <f>IF(COUNTIF($W$4:$W$5,F482)&gt;0,F482,IF(ISBLANK(F482),IF(ISBLANK(F483),T(F482),"ERREUR"),"ERREUR"))</f>
        <v/>
      </c>
      <c r="P482" s="38" t="str">
        <f>IF(COUNTIF($X$4:$X$8,G482)&gt;0,G482,IF(ISBLANK(G482),IF(ISBLANK(G483),T(G482),"ERREUR"),"ERREUR"))</f>
        <v/>
      </c>
      <c r="Q482" s="38" t="str">
        <f>IF(ISNUMBER(H482),IF(INT(H482)=H482,H482,"ERREUR"),IF(ISBLANK(H482),IF(ISBLANK(H483),T(H482),"ERREUR"),"ERREUR"))</f>
        <v/>
      </c>
      <c r="R482" s="38"/>
      <c r="S482" s="38"/>
      <c r="T482" s="38"/>
      <c r="U482" s="38"/>
      <c r="V482" s="38"/>
      <c r="W482" s="38"/>
      <c r="X482" s="53"/>
      <c r="Y482" s="42"/>
      <c r="Z482" s="42"/>
      <c r="AA482" s="42"/>
    </row>
    <row r="483" ht="13.75" customHeight="1">
      <c r="A483" s="14" t="s">
        <v>140</v>
      </c>
      <c r="B483" s="50"/>
      <c r="C483" s="43"/>
      <c r="D483" s="43"/>
      <c r="E483" s="44"/>
      <c r="F483" s="44"/>
      <c r="G483" s="44"/>
      <c r="H483" s="45"/>
      <c r="I483" s="54"/>
      <c r="J483" s="47" t="str">
        <f>IF(OR(K483="ERREUR",L483="ERREUR",M483="ERREUR",N483="ERREUR",O483="ERREUR",P483="ERREUR",Q483="ERREUR"),"ERREUR",IF(AND(K483="",L483="",M483="",N483="",O483="",P483="",Q483=""),"ligne vide",IF(OR(K483="",L483="",M483="",N483="",O483="",P483="",Q483=""),"ligne incomplète","Valide")))</f>
        <v xml:space="preserve">ligne vide</v>
      </c>
      <c r="K483" s="48" t="str">
        <f>IF(ISBLANK(B483),IF(ISBLANK(B484),T(B483),"ERREUR"),IF(ISNUMBER(B483),_xlfn.NUMBERVALUE(B483),IF(ISTEXT(B483),VALUE(B483),"ERREUR")))</f>
        <v/>
      </c>
      <c r="L483" s="38" t="str">
        <f>IF(COUNTIF($R$4:$R$6,C483)&gt;0,C483,IF(ISBLANK(C483),IF(ISBLANK(D483),T(C483),"ERREUR"),"ERREUR"))</f>
        <v/>
      </c>
      <c r="M483" s="49" t="str">
        <f>IF(ISBLANK(D483),IF(ISBLANK(D484),T(D483),"ERREUR"),IF(COUNTIF($T$4:$T$240,SUBSTITUTE(SUBSTITUTE(SUBSTITUTE(SUBSTITUTE(SUBSTITUTE(SUBSTITUTE(UPPER(D483),"Å","A"),"É","E"),"È","E"),"Ê","E"),"Î","I"),"Ï","I"))&gt;0,D483,IF(ISBLANK(D483),T(D483),"ERREUR")))</f>
        <v/>
      </c>
      <c r="N483" s="38" t="str">
        <f>IF(COUNTIF($V$4:$V$6,E483)&gt;0,E483,IF(ISBLANK(E483),IF(ISBLANK(E484),T(E483),"ERREUR"),"ERREUR"))</f>
        <v/>
      </c>
      <c r="O483" s="38" t="str">
        <f>IF(COUNTIF($W$4:$W$5,F483)&gt;0,F483,IF(ISBLANK(F483),IF(ISBLANK(F484),T(F483),"ERREUR"),"ERREUR"))</f>
        <v/>
      </c>
      <c r="P483" s="38" t="str">
        <f>IF(COUNTIF($X$4:$X$8,G483)&gt;0,G483,IF(ISBLANK(G483),IF(ISBLANK(G484),T(G483),"ERREUR"),"ERREUR"))</f>
        <v/>
      </c>
      <c r="Q483" s="38" t="str">
        <f>IF(ISNUMBER(H483),IF(INT(H483)=H483,H483,"ERREUR"),IF(ISBLANK(H483),IF(ISBLANK(H484),T(H483),"ERREUR"),"ERREUR"))</f>
        <v/>
      </c>
      <c r="R483" s="38"/>
      <c r="S483" s="38"/>
      <c r="T483" s="38"/>
      <c r="U483" s="38"/>
      <c r="V483" s="38"/>
      <c r="W483" s="38"/>
      <c r="X483" s="53"/>
      <c r="Y483" s="42"/>
      <c r="Z483" s="42"/>
      <c r="AA483" s="42"/>
    </row>
    <row r="484" ht="13.75" customHeight="1">
      <c r="A484" s="14" t="s">
        <v>140</v>
      </c>
      <c r="B484" s="50"/>
      <c r="C484" s="43"/>
      <c r="D484" s="43"/>
      <c r="E484" s="44"/>
      <c r="F484" s="44"/>
      <c r="G484" s="44"/>
      <c r="H484" s="45"/>
      <c r="I484" s="54"/>
      <c r="J484" s="47" t="str">
        <f>IF(OR(K484="ERREUR",L484="ERREUR",M484="ERREUR",N484="ERREUR",O484="ERREUR",P484="ERREUR",Q484="ERREUR"),"ERREUR",IF(AND(K484="",L484="",M484="",N484="",O484="",P484="",Q484=""),"ligne vide",IF(OR(K484="",L484="",M484="",N484="",O484="",P484="",Q484=""),"ligne incomplète","Valide")))</f>
        <v xml:space="preserve">ligne vide</v>
      </c>
      <c r="K484" s="48" t="str">
        <f>IF(ISBLANK(B484),IF(ISBLANK(B485),T(B484),"ERREUR"),IF(ISNUMBER(B484),_xlfn.NUMBERVALUE(B484),IF(ISTEXT(B484),VALUE(B484),"ERREUR")))</f>
        <v/>
      </c>
      <c r="L484" s="38" t="str">
        <f>IF(COUNTIF($R$4:$R$6,C484)&gt;0,C484,IF(ISBLANK(C484),IF(ISBLANK(D484),T(C484),"ERREUR"),"ERREUR"))</f>
        <v/>
      </c>
      <c r="M484" s="49" t="str">
        <f>IF(ISBLANK(D484),IF(ISBLANK(D485),T(D484),"ERREUR"),IF(COUNTIF($T$4:$T$240,SUBSTITUTE(SUBSTITUTE(SUBSTITUTE(SUBSTITUTE(SUBSTITUTE(SUBSTITUTE(UPPER(D484),"Å","A"),"É","E"),"È","E"),"Ê","E"),"Î","I"),"Ï","I"))&gt;0,D484,IF(ISBLANK(D484),T(D484),"ERREUR")))</f>
        <v/>
      </c>
      <c r="N484" s="38" t="str">
        <f>IF(COUNTIF($V$4:$V$6,E484)&gt;0,E484,IF(ISBLANK(E484),IF(ISBLANK(E485),T(E484),"ERREUR"),"ERREUR"))</f>
        <v/>
      </c>
      <c r="O484" s="38" t="str">
        <f>IF(COUNTIF($W$4:$W$5,F484)&gt;0,F484,IF(ISBLANK(F484),IF(ISBLANK(F485),T(F484),"ERREUR"),"ERREUR"))</f>
        <v/>
      </c>
      <c r="P484" s="38" t="str">
        <f>IF(COUNTIF($X$4:$X$8,G484)&gt;0,G484,IF(ISBLANK(G484),IF(ISBLANK(G485),T(G484),"ERREUR"),"ERREUR"))</f>
        <v/>
      </c>
      <c r="Q484" s="38" t="str">
        <f>IF(ISNUMBER(H484),IF(INT(H484)=H484,H484,"ERREUR"),IF(ISBLANK(H484),IF(ISBLANK(H485),T(H484),"ERREUR"),"ERREUR"))</f>
        <v/>
      </c>
      <c r="R484" s="38"/>
      <c r="S484" s="38"/>
      <c r="T484" s="38"/>
      <c r="U484" s="38"/>
      <c r="V484" s="38"/>
      <c r="W484" s="38"/>
      <c r="X484" s="53"/>
      <c r="Y484" s="42"/>
      <c r="Z484" s="42"/>
      <c r="AA484" s="42"/>
    </row>
    <row r="485" ht="13.75" customHeight="1">
      <c r="A485" s="14" t="s">
        <v>140</v>
      </c>
      <c r="B485" s="50"/>
      <c r="C485" s="43"/>
      <c r="D485" s="43"/>
      <c r="E485" s="44"/>
      <c r="F485" s="44"/>
      <c r="G485" s="44"/>
      <c r="H485" s="45"/>
      <c r="I485" s="54"/>
      <c r="J485" s="47" t="str">
        <f>IF(OR(K485="ERREUR",L485="ERREUR",M485="ERREUR",N485="ERREUR",O485="ERREUR",P485="ERREUR",Q485="ERREUR"),"ERREUR",IF(AND(K485="",L485="",M485="",N485="",O485="",P485="",Q485=""),"ligne vide",IF(OR(K485="",L485="",M485="",N485="",O485="",P485="",Q485=""),"ligne incomplète","Valide")))</f>
        <v xml:space="preserve">ligne vide</v>
      </c>
      <c r="K485" s="48" t="str">
        <f>IF(ISBLANK(B485),IF(ISBLANK(B486),T(B485),"ERREUR"),IF(ISNUMBER(B485),_xlfn.NUMBERVALUE(B485),IF(ISTEXT(B485),VALUE(B485),"ERREUR")))</f>
        <v/>
      </c>
      <c r="L485" s="38" t="str">
        <f>IF(COUNTIF($R$4:$R$6,C485)&gt;0,C485,IF(ISBLANK(C485),IF(ISBLANK(D485),T(C485),"ERREUR"),"ERREUR"))</f>
        <v/>
      </c>
      <c r="M485" s="49" t="str">
        <f>IF(ISBLANK(D485),IF(ISBLANK(D486),T(D485),"ERREUR"),IF(COUNTIF($T$4:$T$240,SUBSTITUTE(SUBSTITUTE(SUBSTITUTE(SUBSTITUTE(SUBSTITUTE(SUBSTITUTE(UPPER(D485),"Å","A"),"É","E"),"È","E"),"Ê","E"),"Î","I"),"Ï","I"))&gt;0,D485,IF(ISBLANK(D485),T(D485),"ERREUR")))</f>
        <v/>
      </c>
      <c r="N485" s="38" t="str">
        <f>IF(COUNTIF($V$4:$V$6,E485)&gt;0,E485,IF(ISBLANK(E485),IF(ISBLANK(E486),T(E485),"ERREUR"),"ERREUR"))</f>
        <v/>
      </c>
      <c r="O485" s="38" t="str">
        <f>IF(COUNTIF($W$4:$W$5,F485)&gt;0,F485,IF(ISBLANK(F485),IF(ISBLANK(F486),T(F485),"ERREUR"),"ERREUR"))</f>
        <v/>
      </c>
      <c r="P485" s="38" t="str">
        <f>IF(COUNTIF($X$4:$X$8,G485)&gt;0,G485,IF(ISBLANK(G485),IF(ISBLANK(G486),T(G485),"ERREUR"),"ERREUR"))</f>
        <v/>
      </c>
      <c r="Q485" s="38" t="str">
        <f>IF(ISNUMBER(H485),IF(INT(H485)=H485,H485,"ERREUR"),IF(ISBLANK(H485),IF(ISBLANK(H486),T(H485),"ERREUR"),"ERREUR"))</f>
        <v/>
      </c>
      <c r="R485" s="38"/>
      <c r="S485" s="38"/>
      <c r="T485" s="38"/>
      <c r="U485" s="38"/>
      <c r="V485" s="38"/>
      <c r="W485" s="38"/>
      <c r="X485" s="53"/>
      <c r="Y485" s="42"/>
      <c r="Z485" s="42"/>
      <c r="AA485" s="42"/>
    </row>
    <row r="486" ht="13.75" customHeight="1">
      <c r="A486" s="14" t="s">
        <v>140</v>
      </c>
      <c r="B486" s="50"/>
      <c r="C486" s="43"/>
      <c r="D486" s="43"/>
      <c r="E486" s="44"/>
      <c r="F486" s="44"/>
      <c r="G486" s="44"/>
      <c r="H486" s="45"/>
      <c r="I486" s="54"/>
      <c r="J486" s="47" t="str">
        <f>IF(OR(K486="ERREUR",L486="ERREUR",M486="ERREUR",N486="ERREUR",O486="ERREUR",P486="ERREUR",Q486="ERREUR"),"ERREUR",IF(AND(K486="",L486="",M486="",N486="",O486="",P486="",Q486=""),"ligne vide",IF(OR(K486="",L486="",M486="",N486="",O486="",P486="",Q486=""),"ligne incomplète","Valide")))</f>
        <v xml:space="preserve">ligne vide</v>
      </c>
      <c r="K486" s="48" t="str">
        <f>IF(ISBLANK(B486),IF(ISBLANK(B487),T(B486),"ERREUR"),IF(ISNUMBER(B486),_xlfn.NUMBERVALUE(B486),IF(ISTEXT(B486),VALUE(B486),"ERREUR")))</f>
        <v/>
      </c>
      <c r="L486" s="38" t="str">
        <f>IF(COUNTIF($R$4:$R$6,C486)&gt;0,C486,IF(ISBLANK(C486),IF(ISBLANK(D486),T(C486),"ERREUR"),"ERREUR"))</f>
        <v/>
      </c>
      <c r="M486" s="49" t="str">
        <f>IF(ISBLANK(D486),IF(ISBLANK(D487),T(D486),"ERREUR"),IF(COUNTIF($T$4:$T$240,SUBSTITUTE(SUBSTITUTE(SUBSTITUTE(SUBSTITUTE(SUBSTITUTE(SUBSTITUTE(UPPER(D486),"Å","A"),"É","E"),"È","E"),"Ê","E"),"Î","I"),"Ï","I"))&gt;0,D486,IF(ISBLANK(D486),T(D486),"ERREUR")))</f>
        <v/>
      </c>
      <c r="N486" s="38" t="str">
        <f>IF(COUNTIF($V$4:$V$6,E486)&gt;0,E486,IF(ISBLANK(E486),IF(ISBLANK(E487),T(E486),"ERREUR"),"ERREUR"))</f>
        <v/>
      </c>
      <c r="O486" s="38" t="str">
        <f>IF(COUNTIF($W$4:$W$5,F486)&gt;0,F486,IF(ISBLANK(F486),IF(ISBLANK(F487),T(F486),"ERREUR"),"ERREUR"))</f>
        <v/>
      </c>
      <c r="P486" s="38" t="str">
        <f>IF(COUNTIF($X$4:$X$8,G486)&gt;0,G486,IF(ISBLANK(G486),IF(ISBLANK(G487),T(G486),"ERREUR"),"ERREUR"))</f>
        <v/>
      </c>
      <c r="Q486" s="38" t="str">
        <f>IF(ISNUMBER(H486),IF(INT(H486)=H486,H486,"ERREUR"),IF(ISBLANK(H486),IF(ISBLANK(H487),T(H486),"ERREUR"),"ERREUR"))</f>
        <v/>
      </c>
      <c r="R486" s="38"/>
      <c r="S486" s="38"/>
      <c r="T486" s="38"/>
      <c r="U486" s="38"/>
      <c r="V486" s="38"/>
      <c r="W486" s="38"/>
      <c r="X486" s="53"/>
      <c r="Y486" s="42"/>
      <c r="Z486" s="42"/>
      <c r="AA486" s="42"/>
    </row>
    <row r="487" ht="13.75" customHeight="1">
      <c r="A487" s="14" t="s">
        <v>140</v>
      </c>
      <c r="B487" s="50"/>
      <c r="C487" s="43"/>
      <c r="D487" s="43"/>
      <c r="E487" s="44"/>
      <c r="F487" s="44"/>
      <c r="G487" s="44"/>
      <c r="H487" s="45"/>
      <c r="I487" s="54"/>
      <c r="J487" s="47" t="str">
        <f>IF(OR(K487="ERREUR",L487="ERREUR",M487="ERREUR",N487="ERREUR",O487="ERREUR",P487="ERREUR",Q487="ERREUR"),"ERREUR",IF(AND(K487="",L487="",M487="",N487="",O487="",P487="",Q487=""),"ligne vide",IF(OR(K487="",L487="",M487="",N487="",O487="",P487="",Q487=""),"ligne incomplète","Valide")))</f>
        <v xml:space="preserve">ligne vide</v>
      </c>
      <c r="K487" s="48" t="str">
        <f>IF(ISBLANK(B487),IF(ISBLANK(B488),T(B487),"ERREUR"),IF(ISNUMBER(B487),_xlfn.NUMBERVALUE(B487),IF(ISTEXT(B487),VALUE(B487),"ERREUR")))</f>
        <v/>
      </c>
      <c r="L487" s="38" t="str">
        <f>IF(COUNTIF($R$4:$R$6,C487)&gt;0,C487,IF(ISBLANK(C487),IF(ISBLANK(D487),T(C487),"ERREUR"),"ERREUR"))</f>
        <v/>
      </c>
      <c r="M487" s="49" t="str">
        <f>IF(ISBLANK(D487),IF(ISBLANK(D488),T(D487),"ERREUR"),IF(COUNTIF($T$4:$T$240,SUBSTITUTE(SUBSTITUTE(SUBSTITUTE(SUBSTITUTE(SUBSTITUTE(SUBSTITUTE(UPPER(D487),"Å","A"),"É","E"),"È","E"),"Ê","E"),"Î","I"),"Ï","I"))&gt;0,D487,IF(ISBLANK(D487),T(D487),"ERREUR")))</f>
        <v/>
      </c>
      <c r="N487" s="38" t="str">
        <f>IF(COUNTIF($V$4:$V$6,E487)&gt;0,E487,IF(ISBLANK(E487),IF(ISBLANK(E488),T(E487),"ERREUR"),"ERREUR"))</f>
        <v/>
      </c>
      <c r="O487" s="38" t="str">
        <f>IF(COUNTIF($W$4:$W$5,F487)&gt;0,F487,IF(ISBLANK(F487),IF(ISBLANK(F488),T(F487),"ERREUR"),"ERREUR"))</f>
        <v/>
      </c>
      <c r="P487" s="38" t="str">
        <f>IF(COUNTIF($X$4:$X$8,G487)&gt;0,G487,IF(ISBLANK(G487),IF(ISBLANK(G488),T(G487),"ERREUR"),"ERREUR"))</f>
        <v/>
      </c>
      <c r="Q487" s="38" t="str">
        <f>IF(ISNUMBER(H487),IF(INT(H487)=H487,H487,"ERREUR"),IF(ISBLANK(H487),IF(ISBLANK(H488),T(H487),"ERREUR"),"ERREUR"))</f>
        <v/>
      </c>
      <c r="R487" s="38"/>
      <c r="S487" s="38"/>
      <c r="T487" s="38"/>
      <c r="U487" s="38"/>
      <c r="V487" s="38"/>
      <c r="W487" s="38"/>
      <c r="X487" s="53"/>
      <c r="Y487" s="42"/>
      <c r="Z487" s="42"/>
      <c r="AA487" s="42"/>
    </row>
    <row r="488" ht="13.75" customHeight="1">
      <c r="A488" s="14" t="s">
        <v>140</v>
      </c>
      <c r="B488" s="50"/>
      <c r="C488" s="43"/>
      <c r="D488" s="43"/>
      <c r="E488" s="44"/>
      <c r="F488" s="44"/>
      <c r="G488" s="44"/>
      <c r="H488" s="45"/>
      <c r="I488" s="54"/>
      <c r="J488" s="47" t="str">
        <f>IF(OR(K488="ERREUR",L488="ERREUR",M488="ERREUR",N488="ERREUR",O488="ERREUR",P488="ERREUR",Q488="ERREUR"),"ERREUR",IF(AND(K488="",L488="",M488="",N488="",O488="",P488="",Q488=""),"ligne vide",IF(OR(K488="",L488="",M488="",N488="",O488="",P488="",Q488=""),"ligne incomplète","Valide")))</f>
        <v xml:space="preserve">ligne vide</v>
      </c>
      <c r="K488" s="48" t="str">
        <f>IF(ISBLANK(B488),IF(ISBLANK(B489),T(B488),"ERREUR"),IF(ISNUMBER(B488),_xlfn.NUMBERVALUE(B488),IF(ISTEXT(B488),VALUE(B488),"ERREUR")))</f>
        <v/>
      </c>
      <c r="L488" s="38" t="str">
        <f>IF(COUNTIF($R$4:$R$6,C488)&gt;0,C488,IF(ISBLANK(C488),IF(ISBLANK(D488),T(C488),"ERREUR"),"ERREUR"))</f>
        <v/>
      </c>
      <c r="M488" s="49" t="str">
        <f>IF(ISBLANK(D488),IF(ISBLANK(D489),T(D488),"ERREUR"),IF(COUNTIF($T$4:$T$240,SUBSTITUTE(SUBSTITUTE(SUBSTITUTE(SUBSTITUTE(SUBSTITUTE(SUBSTITUTE(UPPER(D488),"Å","A"),"É","E"),"È","E"),"Ê","E"),"Î","I"),"Ï","I"))&gt;0,D488,IF(ISBLANK(D488),T(D488),"ERREUR")))</f>
        <v/>
      </c>
      <c r="N488" s="38" t="str">
        <f>IF(COUNTIF($V$4:$V$6,E488)&gt;0,E488,IF(ISBLANK(E488),IF(ISBLANK(E489),T(E488),"ERREUR"),"ERREUR"))</f>
        <v/>
      </c>
      <c r="O488" s="38" t="str">
        <f>IF(COUNTIF($W$4:$W$5,F488)&gt;0,F488,IF(ISBLANK(F488),IF(ISBLANK(F489),T(F488),"ERREUR"),"ERREUR"))</f>
        <v/>
      </c>
      <c r="P488" s="38" t="str">
        <f>IF(COUNTIF($X$4:$X$8,G488)&gt;0,G488,IF(ISBLANK(G488),IF(ISBLANK(G489),T(G488),"ERREUR"),"ERREUR"))</f>
        <v/>
      </c>
      <c r="Q488" s="38" t="str">
        <f>IF(ISNUMBER(H488),IF(INT(H488)=H488,H488,"ERREUR"),IF(ISBLANK(H488),IF(ISBLANK(H489),T(H488),"ERREUR"),"ERREUR"))</f>
        <v/>
      </c>
      <c r="R488" s="38"/>
      <c r="S488" s="38"/>
      <c r="T488" s="38"/>
      <c r="U488" s="38"/>
      <c r="V488" s="38"/>
      <c r="W488" s="38"/>
      <c r="X488" s="53"/>
      <c r="Y488" s="42"/>
      <c r="Z488" s="42"/>
      <c r="AA488" s="42"/>
    </row>
    <row r="489" ht="13.75" customHeight="1">
      <c r="A489" s="14" t="s">
        <v>140</v>
      </c>
      <c r="B489" s="50"/>
      <c r="C489" s="43"/>
      <c r="D489" s="43"/>
      <c r="E489" s="44"/>
      <c r="F489" s="44"/>
      <c r="G489" s="44"/>
      <c r="H489" s="45"/>
      <c r="I489" s="54"/>
      <c r="J489" s="47" t="str">
        <f>IF(OR(K489="ERREUR",L489="ERREUR",M489="ERREUR",N489="ERREUR",O489="ERREUR",P489="ERREUR",Q489="ERREUR"),"ERREUR",IF(AND(K489="",L489="",M489="",N489="",O489="",P489="",Q489=""),"ligne vide",IF(OR(K489="",L489="",M489="",N489="",O489="",P489="",Q489=""),"ligne incomplète","Valide")))</f>
        <v xml:space="preserve">ligne vide</v>
      </c>
      <c r="K489" s="48" t="str">
        <f>IF(ISBLANK(B489),IF(ISBLANK(B490),T(B489),"ERREUR"),IF(ISNUMBER(B489),_xlfn.NUMBERVALUE(B489),IF(ISTEXT(B489),VALUE(B489),"ERREUR")))</f>
        <v/>
      </c>
      <c r="L489" s="38" t="str">
        <f>IF(COUNTIF($R$4:$R$6,C489)&gt;0,C489,IF(ISBLANK(C489),IF(ISBLANK(D489),T(C489),"ERREUR"),"ERREUR"))</f>
        <v/>
      </c>
      <c r="M489" s="49" t="str">
        <f>IF(ISBLANK(D489),IF(ISBLANK(D490),T(D489),"ERREUR"),IF(COUNTIF($T$4:$T$240,SUBSTITUTE(SUBSTITUTE(SUBSTITUTE(SUBSTITUTE(SUBSTITUTE(SUBSTITUTE(UPPER(D489),"Å","A"),"É","E"),"È","E"),"Ê","E"),"Î","I"),"Ï","I"))&gt;0,D489,IF(ISBLANK(D489),T(D489),"ERREUR")))</f>
        <v/>
      </c>
      <c r="N489" s="38" t="str">
        <f>IF(COUNTIF($V$4:$V$6,E489)&gt;0,E489,IF(ISBLANK(E489),IF(ISBLANK(E490),T(E489),"ERREUR"),"ERREUR"))</f>
        <v/>
      </c>
      <c r="O489" s="38" t="str">
        <f>IF(COUNTIF($W$4:$W$5,F489)&gt;0,F489,IF(ISBLANK(F489),IF(ISBLANK(F490),T(F489),"ERREUR"),"ERREUR"))</f>
        <v/>
      </c>
      <c r="P489" s="38" t="str">
        <f>IF(COUNTIF($X$4:$X$8,G489)&gt;0,G489,IF(ISBLANK(G489),IF(ISBLANK(G490),T(G489),"ERREUR"),"ERREUR"))</f>
        <v/>
      </c>
      <c r="Q489" s="38" t="str">
        <f>IF(ISNUMBER(H489),IF(INT(H489)=H489,H489,"ERREUR"),IF(ISBLANK(H489),IF(ISBLANK(H490),T(H489),"ERREUR"),"ERREUR"))</f>
        <v/>
      </c>
      <c r="R489" s="38"/>
      <c r="S489" s="38"/>
      <c r="T489" s="38"/>
      <c r="U489" s="38"/>
      <c r="V489" s="38"/>
      <c r="W489" s="38"/>
      <c r="X489" s="53"/>
      <c r="Y489" s="42"/>
      <c r="Z489" s="42"/>
      <c r="AA489" s="42"/>
    </row>
    <row r="490" ht="13.75" customHeight="1">
      <c r="A490" s="14" t="s">
        <v>140</v>
      </c>
      <c r="B490" s="50"/>
      <c r="C490" s="43"/>
      <c r="D490" s="43"/>
      <c r="E490" s="44"/>
      <c r="F490" s="44"/>
      <c r="G490" s="44"/>
      <c r="H490" s="45"/>
      <c r="I490" s="54"/>
      <c r="J490" s="47" t="str">
        <f>IF(OR(K490="ERREUR",L490="ERREUR",M490="ERREUR",N490="ERREUR",O490="ERREUR",P490="ERREUR",Q490="ERREUR"),"ERREUR",IF(AND(K490="",L490="",M490="",N490="",O490="",P490="",Q490=""),"ligne vide",IF(OR(K490="",L490="",M490="",N490="",O490="",P490="",Q490=""),"ligne incomplète","Valide")))</f>
        <v xml:space="preserve">ligne vide</v>
      </c>
      <c r="K490" s="48" t="str">
        <f>IF(ISBLANK(B490),IF(ISBLANK(B491),T(B490),"ERREUR"),IF(ISNUMBER(B490),_xlfn.NUMBERVALUE(B490),IF(ISTEXT(B490),VALUE(B490),"ERREUR")))</f>
        <v/>
      </c>
      <c r="L490" s="38" t="str">
        <f>IF(COUNTIF($R$4:$R$6,C490)&gt;0,C490,IF(ISBLANK(C490),IF(ISBLANK(D490),T(C490),"ERREUR"),"ERREUR"))</f>
        <v/>
      </c>
      <c r="M490" s="49" t="str">
        <f>IF(ISBLANK(D490),IF(ISBLANK(D491),T(D490),"ERREUR"),IF(COUNTIF($T$4:$T$240,SUBSTITUTE(SUBSTITUTE(SUBSTITUTE(SUBSTITUTE(SUBSTITUTE(SUBSTITUTE(UPPER(D490),"Å","A"),"É","E"),"È","E"),"Ê","E"),"Î","I"),"Ï","I"))&gt;0,D490,IF(ISBLANK(D490),T(D490),"ERREUR")))</f>
        <v/>
      </c>
      <c r="N490" s="38" t="str">
        <f>IF(COUNTIF($V$4:$V$6,E490)&gt;0,E490,IF(ISBLANK(E490),IF(ISBLANK(E491),T(E490),"ERREUR"),"ERREUR"))</f>
        <v/>
      </c>
      <c r="O490" s="38" t="str">
        <f>IF(COUNTIF($W$4:$W$5,F490)&gt;0,F490,IF(ISBLANK(F490),IF(ISBLANK(F491),T(F490),"ERREUR"),"ERREUR"))</f>
        <v/>
      </c>
      <c r="P490" s="38" t="str">
        <f>IF(COUNTIF($X$4:$X$8,G490)&gt;0,G490,IF(ISBLANK(G490),IF(ISBLANK(G491),T(G490),"ERREUR"),"ERREUR"))</f>
        <v/>
      </c>
      <c r="Q490" s="38" t="str">
        <f>IF(ISNUMBER(H490),IF(INT(H490)=H490,H490,"ERREUR"),IF(ISBLANK(H490),IF(ISBLANK(H491),T(H490),"ERREUR"),"ERREUR"))</f>
        <v/>
      </c>
      <c r="R490" s="38"/>
      <c r="S490" s="38"/>
      <c r="T490" s="38"/>
      <c r="U490" s="38"/>
      <c r="V490" s="38"/>
      <c r="W490" s="38"/>
      <c r="X490" s="53"/>
      <c r="Y490" s="42"/>
      <c r="Z490" s="42"/>
      <c r="AA490" s="42"/>
    </row>
    <row r="491" ht="13.75" customHeight="1">
      <c r="A491" s="14" t="s">
        <v>140</v>
      </c>
      <c r="B491" s="50"/>
      <c r="C491" s="43"/>
      <c r="D491" s="43"/>
      <c r="E491" s="44"/>
      <c r="F491" s="44"/>
      <c r="G491" s="44"/>
      <c r="H491" s="45"/>
      <c r="I491" s="54"/>
      <c r="J491" s="47" t="str">
        <f>IF(OR(K491="ERREUR",L491="ERREUR",M491="ERREUR",N491="ERREUR",O491="ERREUR",P491="ERREUR",Q491="ERREUR"),"ERREUR",IF(AND(K491="",L491="",M491="",N491="",O491="",P491="",Q491=""),"ligne vide",IF(OR(K491="",L491="",M491="",N491="",O491="",P491="",Q491=""),"ligne incomplète","Valide")))</f>
        <v xml:space="preserve">ligne vide</v>
      </c>
      <c r="K491" s="48" t="str">
        <f>IF(ISBLANK(B491),IF(ISBLANK(B492),T(B491),"ERREUR"),IF(ISNUMBER(B491),_xlfn.NUMBERVALUE(B491),IF(ISTEXT(B491),VALUE(B491),"ERREUR")))</f>
        <v/>
      </c>
      <c r="L491" s="38" t="str">
        <f>IF(COUNTIF($R$4:$R$6,C491)&gt;0,C491,IF(ISBLANK(C491),IF(ISBLANK(D491),T(C491),"ERREUR"),"ERREUR"))</f>
        <v/>
      </c>
      <c r="M491" s="49" t="str">
        <f>IF(ISBLANK(D491),IF(ISBLANK(D492),T(D491),"ERREUR"),IF(COUNTIF($T$4:$T$240,SUBSTITUTE(SUBSTITUTE(SUBSTITUTE(SUBSTITUTE(SUBSTITUTE(SUBSTITUTE(UPPER(D491),"Å","A"),"É","E"),"È","E"),"Ê","E"),"Î","I"),"Ï","I"))&gt;0,D491,IF(ISBLANK(D491),T(D491),"ERREUR")))</f>
        <v/>
      </c>
      <c r="N491" s="38" t="str">
        <f>IF(COUNTIF($V$4:$V$6,E491)&gt;0,E491,IF(ISBLANK(E491),IF(ISBLANK(E492),T(E491),"ERREUR"),"ERREUR"))</f>
        <v/>
      </c>
      <c r="O491" s="38" t="str">
        <f>IF(COUNTIF($W$4:$W$5,F491)&gt;0,F491,IF(ISBLANK(F491),IF(ISBLANK(F492),T(F491),"ERREUR"),"ERREUR"))</f>
        <v/>
      </c>
      <c r="P491" s="38" t="str">
        <f>IF(COUNTIF($X$4:$X$8,G491)&gt;0,G491,IF(ISBLANK(G491),IF(ISBLANK(G492),T(G491),"ERREUR"),"ERREUR"))</f>
        <v/>
      </c>
      <c r="Q491" s="38" t="str">
        <f>IF(ISNUMBER(H491),IF(INT(H491)=H491,H491,"ERREUR"),IF(ISBLANK(H491),IF(ISBLANK(H492),T(H491),"ERREUR"),"ERREUR"))</f>
        <v/>
      </c>
      <c r="R491" s="38"/>
      <c r="S491" s="38"/>
      <c r="T491" s="38"/>
      <c r="U491" s="38"/>
      <c r="V491" s="38"/>
      <c r="W491" s="38"/>
      <c r="X491" s="53"/>
      <c r="Y491" s="42"/>
      <c r="Z491" s="42"/>
      <c r="AA491" s="42"/>
    </row>
    <row r="492" ht="13.75" customHeight="1">
      <c r="A492" s="14" t="s">
        <v>140</v>
      </c>
      <c r="B492" s="50"/>
      <c r="C492" s="43"/>
      <c r="D492" s="43"/>
      <c r="E492" s="44"/>
      <c r="F492" s="44"/>
      <c r="G492" s="44"/>
      <c r="H492" s="45"/>
      <c r="I492" s="54"/>
      <c r="J492" s="47" t="str">
        <f>IF(OR(K492="ERREUR",L492="ERREUR",M492="ERREUR",N492="ERREUR",O492="ERREUR",P492="ERREUR",Q492="ERREUR"),"ERREUR",IF(AND(K492="",L492="",M492="",N492="",O492="",P492="",Q492=""),"ligne vide",IF(OR(K492="",L492="",M492="",N492="",O492="",P492="",Q492=""),"ligne incomplète","Valide")))</f>
        <v xml:space="preserve">ligne vide</v>
      </c>
      <c r="K492" s="48" t="str">
        <f>IF(ISBLANK(B492),IF(ISBLANK(B493),T(B492),"ERREUR"),IF(ISNUMBER(B492),_xlfn.NUMBERVALUE(B492),IF(ISTEXT(B492),VALUE(B492),"ERREUR")))</f>
        <v/>
      </c>
      <c r="L492" s="38" t="str">
        <f>IF(COUNTIF($R$4:$R$6,C492)&gt;0,C492,IF(ISBLANK(C492),IF(ISBLANK(D492),T(C492),"ERREUR"),"ERREUR"))</f>
        <v/>
      </c>
      <c r="M492" s="49" t="str">
        <f>IF(ISBLANK(D492),IF(ISBLANK(D493),T(D492),"ERREUR"),IF(COUNTIF($T$4:$T$240,SUBSTITUTE(SUBSTITUTE(SUBSTITUTE(SUBSTITUTE(SUBSTITUTE(SUBSTITUTE(UPPER(D492),"Å","A"),"É","E"),"È","E"),"Ê","E"),"Î","I"),"Ï","I"))&gt;0,D492,IF(ISBLANK(D492),T(D492),"ERREUR")))</f>
        <v/>
      </c>
      <c r="N492" s="38" t="str">
        <f>IF(COUNTIF($V$4:$V$6,E492)&gt;0,E492,IF(ISBLANK(E492),IF(ISBLANK(E493),T(E492),"ERREUR"),"ERREUR"))</f>
        <v/>
      </c>
      <c r="O492" s="38" t="str">
        <f>IF(COUNTIF($W$4:$W$5,F492)&gt;0,F492,IF(ISBLANK(F492),IF(ISBLANK(F493),T(F492),"ERREUR"),"ERREUR"))</f>
        <v/>
      </c>
      <c r="P492" s="38" t="str">
        <f>IF(COUNTIF($X$4:$X$8,G492)&gt;0,G492,IF(ISBLANK(G492),IF(ISBLANK(G493),T(G492),"ERREUR"),"ERREUR"))</f>
        <v/>
      </c>
      <c r="Q492" s="38" t="str">
        <f>IF(ISNUMBER(H492),IF(INT(H492)=H492,H492,"ERREUR"),IF(ISBLANK(H492),IF(ISBLANK(H493),T(H492),"ERREUR"),"ERREUR"))</f>
        <v/>
      </c>
      <c r="R492" s="38"/>
      <c r="S492" s="38"/>
      <c r="T492" s="38"/>
      <c r="U492" s="38"/>
      <c r="V492" s="38"/>
      <c r="W492" s="38"/>
      <c r="X492" s="53"/>
      <c r="Y492" s="42"/>
      <c r="Z492" s="42"/>
      <c r="AA492" s="42"/>
    </row>
    <row r="493" ht="13.75" customHeight="1">
      <c r="A493" s="14" t="s">
        <v>140</v>
      </c>
      <c r="B493" s="50"/>
      <c r="C493" s="43"/>
      <c r="D493" s="43"/>
      <c r="E493" s="44"/>
      <c r="F493" s="44"/>
      <c r="G493" s="44"/>
      <c r="H493" s="45"/>
      <c r="I493" s="54"/>
      <c r="J493" s="47" t="str">
        <f>IF(OR(K493="ERREUR",L493="ERREUR",M493="ERREUR",N493="ERREUR",O493="ERREUR",P493="ERREUR",Q493="ERREUR"),"ERREUR",IF(AND(K493="",L493="",M493="",N493="",O493="",P493="",Q493=""),"ligne vide",IF(OR(K493="",L493="",M493="",N493="",O493="",P493="",Q493=""),"ligne incomplète","Valide")))</f>
        <v xml:space="preserve">ligne vide</v>
      </c>
      <c r="K493" s="48" t="str">
        <f>IF(ISBLANK(B493),IF(ISBLANK(B494),T(B493),"ERREUR"),IF(ISNUMBER(B493),_xlfn.NUMBERVALUE(B493),IF(ISTEXT(B493),VALUE(B493),"ERREUR")))</f>
        <v/>
      </c>
      <c r="L493" s="38" t="str">
        <f>IF(COUNTIF($R$4:$R$6,C493)&gt;0,C493,IF(ISBLANK(C493),IF(ISBLANK(D493),T(C493),"ERREUR"),"ERREUR"))</f>
        <v/>
      </c>
      <c r="M493" s="49" t="str">
        <f>IF(ISBLANK(D493),IF(ISBLANK(D494),T(D493),"ERREUR"),IF(COUNTIF($T$4:$T$240,SUBSTITUTE(SUBSTITUTE(SUBSTITUTE(SUBSTITUTE(SUBSTITUTE(SUBSTITUTE(UPPER(D493),"Å","A"),"É","E"),"È","E"),"Ê","E"),"Î","I"),"Ï","I"))&gt;0,D493,IF(ISBLANK(D493),T(D493),"ERREUR")))</f>
        <v/>
      </c>
      <c r="N493" s="38" t="str">
        <f>IF(COUNTIF($V$4:$V$6,E493)&gt;0,E493,IF(ISBLANK(E493),IF(ISBLANK(E494),T(E493),"ERREUR"),"ERREUR"))</f>
        <v/>
      </c>
      <c r="O493" s="38" t="str">
        <f>IF(COUNTIF($W$4:$W$5,F493)&gt;0,F493,IF(ISBLANK(F493),IF(ISBLANK(F494),T(F493),"ERREUR"),"ERREUR"))</f>
        <v/>
      </c>
      <c r="P493" s="38" t="str">
        <f>IF(COUNTIF($X$4:$X$8,G493)&gt;0,G493,IF(ISBLANK(G493),IF(ISBLANK(G494),T(G493),"ERREUR"),"ERREUR"))</f>
        <v/>
      </c>
      <c r="Q493" s="38" t="str">
        <f>IF(ISNUMBER(H493),IF(INT(H493)=H493,H493,"ERREUR"),IF(ISBLANK(H493),IF(ISBLANK(H494),T(H493),"ERREUR"),"ERREUR"))</f>
        <v/>
      </c>
      <c r="R493" s="38"/>
      <c r="S493" s="38"/>
      <c r="T493" s="38"/>
      <c r="U493" s="38"/>
      <c r="V493" s="38"/>
      <c r="W493" s="38"/>
      <c r="X493" s="53"/>
      <c r="Y493" s="42"/>
      <c r="Z493" s="42"/>
      <c r="AA493" s="42"/>
    </row>
    <row r="494" ht="13.75" customHeight="1">
      <c r="A494" s="14" t="s">
        <v>140</v>
      </c>
      <c r="B494" s="50"/>
      <c r="C494" s="43"/>
      <c r="D494" s="43"/>
      <c r="E494" s="44"/>
      <c r="F494" s="44"/>
      <c r="G494" s="44"/>
      <c r="H494" s="45"/>
      <c r="I494" s="54"/>
      <c r="J494" s="47" t="str">
        <f>IF(OR(K494="ERREUR",L494="ERREUR",M494="ERREUR",N494="ERREUR",O494="ERREUR",P494="ERREUR",Q494="ERREUR"),"ERREUR",IF(AND(K494="",L494="",M494="",N494="",O494="",P494="",Q494=""),"ligne vide",IF(OR(K494="",L494="",M494="",N494="",O494="",P494="",Q494=""),"ligne incomplète","Valide")))</f>
        <v xml:space="preserve">ligne vide</v>
      </c>
      <c r="K494" s="48" t="str">
        <f>IF(ISBLANK(B494),IF(ISBLANK(B495),T(B494),"ERREUR"),IF(ISNUMBER(B494),_xlfn.NUMBERVALUE(B494),IF(ISTEXT(B494),VALUE(B494),"ERREUR")))</f>
        <v/>
      </c>
      <c r="L494" s="38" t="str">
        <f>IF(COUNTIF($R$4:$R$6,C494)&gt;0,C494,IF(ISBLANK(C494),IF(ISBLANK(D494),T(C494),"ERREUR"),"ERREUR"))</f>
        <v/>
      </c>
      <c r="M494" s="49" t="str">
        <f>IF(ISBLANK(D494),IF(ISBLANK(D495),T(D494),"ERREUR"),IF(COUNTIF($T$4:$T$240,SUBSTITUTE(SUBSTITUTE(SUBSTITUTE(SUBSTITUTE(SUBSTITUTE(SUBSTITUTE(UPPER(D494),"Å","A"),"É","E"),"È","E"),"Ê","E"),"Î","I"),"Ï","I"))&gt;0,D494,IF(ISBLANK(D494),T(D494),"ERREUR")))</f>
        <v/>
      </c>
      <c r="N494" s="38" t="str">
        <f>IF(COUNTIF($V$4:$V$6,E494)&gt;0,E494,IF(ISBLANK(E494),IF(ISBLANK(E495),T(E494),"ERREUR"),"ERREUR"))</f>
        <v/>
      </c>
      <c r="O494" s="38" t="str">
        <f>IF(COUNTIF($W$4:$W$5,F494)&gt;0,F494,IF(ISBLANK(F494),IF(ISBLANK(F495),T(F494),"ERREUR"),"ERREUR"))</f>
        <v/>
      </c>
      <c r="P494" s="38" t="str">
        <f>IF(COUNTIF($X$4:$X$8,G494)&gt;0,G494,IF(ISBLANK(G494),IF(ISBLANK(G495),T(G494),"ERREUR"),"ERREUR"))</f>
        <v/>
      </c>
      <c r="Q494" s="38" t="str">
        <f>IF(ISNUMBER(H494),IF(INT(H494)=H494,H494,"ERREUR"),IF(ISBLANK(H494),IF(ISBLANK(H495),T(H494),"ERREUR"),"ERREUR"))</f>
        <v/>
      </c>
      <c r="R494" s="38"/>
      <c r="S494" s="38"/>
      <c r="T494" s="38"/>
      <c r="U494" s="38"/>
      <c r="V494" s="38"/>
      <c r="W494" s="38"/>
      <c r="X494" s="53"/>
      <c r="Y494" s="42"/>
      <c r="Z494" s="42"/>
      <c r="AA494" s="42"/>
    </row>
    <row r="495" ht="13.75" customHeight="1">
      <c r="A495" s="14" t="s">
        <v>140</v>
      </c>
      <c r="B495" s="50"/>
      <c r="C495" s="43"/>
      <c r="D495" s="43"/>
      <c r="E495" s="44"/>
      <c r="F495" s="44"/>
      <c r="G495" s="44"/>
      <c r="H495" s="45"/>
      <c r="I495" s="54"/>
      <c r="J495" s="47" t="str">
        <f>IF(OR(K495="ERREUR",L495="ERREUR",M495="ERREUR",N495="ERREUR",O495="ERREUR",P495="ERREUR",Q495="ERREUR"),"ERREUR",IF(AND(K495="",L495="",M495="",N495="",O495="",P495="",Q495=""),"ligne vide",IF(OR(K495="",L495="",M495="",N495="",O495="",P495="",Q495=""),"ligne incomplète","Valide")))</f>
        <v xml:space="preserve">ligne vide</v>
      </c>
      <c r="K495" s="48" t="str">
        <f>IF(ISBLANK(B495),IF(ISBLANK(B496),T(B495),"ERREUR"),IF(ISNUMBER(B495),_xlfn.NUMBERVALUE(B495),IF(ISTEXT(B495),VALUE(B495),"ERREUR")))</f>
        <v/>
      </c>
      <c r="L495" s="38" t="str">
        <f>IF(COUNTIF($R$4:$R$6,C495)&gt;0,C495,IF(ISBLANK(C495),IF(ISBLANK(D495),T(C495),"ERREUR"),"ERREUR"))</f>
        <v/>
      </c>
      <c r="M495" s="49" t="str">
        <f>IF(ISBLANK(D495),IF(ISBLANK(D496),T(D495),"ERREUR"),IF(COUNTIF($T$4:$T$240,SUBSTITUTE(SUBSTITUTE(SUBSTITUTE(SUBSTITUTE(SUBSTITUTE(SUBSTITUTE(UPPER(D495),"Å","A"),"É","E"),"È","E"),"Ê","E"),"Î","I"),"Ï","I"))&gt;0,D495,IF(ISBLANK(D495),T(D495),"ERREUR")))</f>
        <v/>
      </c>
      <c r="N495" s="38" t="str">
        <f>IF(COUNTIF($V$4:$V$6,E495)&gt;0,E495,IF(ISBLANK(E495),IF(ISBLANK(E496),T(E495),"ERREUR"),"ERREUR"))</f>
        <v/>
      </c>
      <c r="O495" s="38" t="str">
        <f>IF(COUNTIF($W$4:$W$5,F495)&gt;0,F495,IF(ISBLANK(F495),IF(ISBLANK(F496),T(F495),"ERREUR"),"ERREUR"))</f>
        <v/>
      </c>
      <c r="P495" s="38" t="str">
        <f>IF(COUNTIF($X$4:$X$8,G495)&gt;0,G495,IF(ISBLANK(G495),IF(ISBLANK(G496),T(G495),"ERREUR"),"ERREUR"))</f>
        <v/>
      </c>
      <c r="Q495" s="38" t="str">
        <f>IF(ISNUMBER(H495),IF(INT(H495)=H495,H495,"ERREUR"),IF(ISBLANK(H495),IF(ISBLANK(H496),T(H495),"ERREUR"),"ERREUR"))</f>
        <v/>
      </c>
      <c r="R495" s="38"/>
      <c r="S495" s="38"/>
      <c r="T495" s="38"/>
      <c r="U495" s="38"/>
      <c r="V495" s="38"/>
      <c r="W495" s="38"/>
      <c r="X495" s="53"/>
      <c r="Y495" s="42"/>
      <c r="Z495" s="42"/>
      <c r="AA495" s="42"/>
    </row>
    <row r="496" ht="13.75" customHeight="1">
      <c r="A496" s="14" t="s">
        <v>140</v>
      </c>
      <c r="B496" s="50"/>
      <c r="C496" s="43"/>
      <c r="D496" s="43"/>
      <c r="E496" s="44"/>
      <c r="F496" s="44"/>
      <c r="G496" s="44"/>
      <c r="H496" s="45"/>
      <c r="I496" s="54"/>
      <c r="J496" s="47" t="str">
        <f>IF(OR(K496="ERREUR",L496="ERREUR",M496="ERREUR",N496="ERREUR",O496="ERREUR",P496="ERREUR",Q496="ERREUR"),"ERREUR",IF(AND(K496="",L496="",M496="",N496="",O496="",P496="",Q496=""),"ligne vide",IF(OR(K496="",L496="",M496="",N496="",O496="",P496="",Q496=""),"ligne incomplète","Valide")))</f>
        <v xml:space="preserve">ligne vide</v>
      </c>
      <c r="K496" s="48" t="str">
        <f>IF(ISBLANK(B496),IF(ISBLANK(B497),T(B496),"ERREUR"),IF(ISNUMBER(B496),_xlfn.NUMBERVALUE(B496),IF(ISTEXT(B496),VALUE(B496),"ERREUR")))</f>
        <v/>
      </c>
      <c r="L496" s="38" t="str">
        <f>IF(COUNTIF($R$4:$R$6,C496)&gt;0,C496,IF(ISBLANK(C496),IF(ISBLANK(D496),T(C496),"ERREUR"),"ERREUR"))</f>
        <v/>
      </c>
      <c r="M496" s="49" t="str">
        <f>IF(ISBLANK(D496),IF(ISBLANK(D497),T(D496),"ERREUR"),IF(COUNTIF($T$4:$T$240,SUBSTITUTE(SUBSTITUTE(SUBSTITUTE(SUBSTITUTE(SUBSTITUTE(SUBSTITUTE(UPPER(D496),"Å","A"),"É","E"),"È","E"),"Ê","E"),"Î","I"),"Ï","I"))&gt;0,D496,IF(ISBLANK(D496),T(D496),"ERREUR")))</f>
        <v/>
      </c>
      <c r="N496" s="38" t="str">
        <f>IF(COUNTIF($V$4:$V$6,E496)&gt;0,E496,IF(ISBLANK(E496),IF(ISBLANK(E497),T(E496),"ERREUR"),"ERREUR"))</f>
        <v/>
      </c>
      <c r="O496" s="38" t="str">
        <f>IF(COUNTIF($W$4:$W$5,F496)&gt;0,F496,IF(ISBLANK(F496),IF(ISBLANK(F497),T(F496),"ERREUR"),"ERREUR"))</f>
        <v/>
      </c>
      <c r="P496" s="38" t="str">
        <f>IF(COUNTIF($X$4:$X$8,G496)&gt;0,G496,IF(ISBLANK(G496),IF(ISBLANK(G497),T(G496),"ERREUR"),"ERREUR"))</f>
        <v/>
      </c>
      <c r="Q496" s="38" t="str">
        <f>IF(ISNUMBER(H496),IF(INT(H496)=H496,H496,"ERREUR"),IF(ISBLANK(H496),IF(ISBLANK(H497),T(H496),"ERREUR"),"ERREUR"))</f>
        <v/>
      </c>
      <c r="R496" s="38"/>
      <c r="S496" s="38"/>
      <c r="T496" s="38"/>
      <c r="U496" s="38"/>
      <c r="V496" s="38"/>
      <c r="W496" s="38"/>
      <c r="X496" s="53"/>
      <c r="Y496" s="42"/>
      <c r="Z496" s="42"/>
      <c r="AA496" s="42"/>
    </row>
    <row r="497" ht="13.75" customHeight="1">
      <c r="A497" s="14" t="s">
        <v>140</v>
      </c>
      <c r="B497" s="50"/>
      <c r="C497" s="43"/>
      <c r="D497" s="43"/>
      <c r="E497" s="44"/>
      <c r="F497" s="44"/>
      <c r="G497" s="44"/>
      <c r="H497" s="45"/>
      <c r="I497" s="54"/>
      <c r="J497" s="47" t="str">
        <f>IF(OR(K497="ERREUR",L497="ERREUR",M497="ERREUR",N497="ERREUR",O497="ERREUR",P497="ERREUR",Q497="ERREUR"),"ERREUR",IF(AND(K497="",L497="",M497="",N497="",O497="",P497="",Q497=""),"ligne vide",IF(OR(K497="",L497="",M497="",N497="",O497="",P497="",Q497=""),"ligne incomplète","Valide")))</f>
        <v xml:space="preserve">ligne vide</v>
      </c>
      <c r="K497" s="48" t="str">
        <f>IF(ISBLANK(B497),IF(ISBLANK(B498),T(B497),"ERREUR"),IF(ISNUMBER(B497),_xlfn.NUMBERVALUE(B497),IF(ISTEXT(B497),VALUE(B497),"ERREUR")))</f>
        <v/>
      </c>
      <c r="L497" s="38" t="str">
        <f>IF(COUNTIF($R$4:$R$6,C497)&gt;0,C497,IF(ISBLANK(C497),IF(ISBLANK(D497),T(C497),"ERREUR"),"ERREUR"))</f>
        <v/>
      </c>
      <c r="M497" s="49" t="str">
        <f>IF(ISBLANK(D497),IF(ISBLANK(D498),T(D497),"ERREUR"),IF(COUNTIF($T$4:$T$240,SUBSTITUTE(SUBSTITUTE(SUBSTITUTE(SUBSTITUTE(SUBSTITUTE(SUBSTITUTE(UPPER(D497),"Å","A"),"É","E"),"È","E"),"Ê","E"),"Î","I"),"Ï","I"))&gt;0,D497,IF(ISBLANK(D497),T(D497),"ERREUR")))</f>
        <v/>
      </c>
      <c r="N497" s="38" t="str">
        <f>IF(COUNTIF($V$4:$V$6,E497)&gt;0,E497,IF(ISBLANK(E497),IF(ISBLANK(E498),T(E497),"ERREUR"),"ERREUR"))</f>
        <v/>
      </c>
      <c r="O497" s="38" t="str">
        <f>IF(COUNTIF($W$4:$W$5,F497)&gt;0,F497,IF(ISBLANK(F497),IF(ISBLANK(F498),T(F497),"ERREUR"),"ERREUR"))</f>
        <v/>
      </c>
      <c r="P497" s="38" t="str">
        <f>IF(COUNTIF($X$4:$X$8,G497)&gt;0,G497,IF(ISBLANK(G497),IF(ISBLANK(G498),T(G497),"ERREUR"),"ERREUR"))</f>
        <v/>
      </c>
      <c r="Q497" s="38" t="str">
        <f>IF(ISNUMBER(H497),IF(INT(H497)=H497,H497,"ERREUR"),IF(ISBLANK(H497),IF(ISBLANK(H498),T(H497),"ERREUR"),"ERREUR"))</f>
        <v/>
      </c>
      <c r="R497" s="38"/>
      <c r="S497" s="38"/>
      <c r="T497" s="38"/>
      <c r="U497" s="38"/>
      <c r="V497" s="38"/>
      <c r="W497" s="38"/>
      <c r="X497" s="53"/>
      <c r="Y497" s="42"/>
      <c r="Z497" s="42"/>
      <c r="AA497" s="42"/>
    </row>
    <row r="498" ht="13.75" customHeight="1">
      <c r="A498" s="14" t="s">
        <v>140</v>
      </c>
      <c r="B498" s="50"/>
      <c r="C498" s="43"/>
      <c r="D498" s="43"/>
      <c r="E498" s="44"/>
      <c r="F498" s="44"/>
      <c r="G498" s="44"/>
      <c r="H498" s="45"/>
      <c r="I498" s="54"/>
      <c r="J498" s="47" t="str">
        <f>IF(OR(K498="ERREUR",L498="ERREUR",M498="ERREUR",N498="ERREUR",O498="ERREUR",P498="ERREUR",Q498="ERREUR"),"ERREUR",IF(AND(K498="",L498="",M498="",N498="",O498="",P498="",Q498=""),"ligne vide",IF(OR(K498="",L498="",M498="",N498="",O498="",P498="",Q498=""),"ligne incomplète","Valide")))</f>
        <v xml:space="preserve">ligne vide</v>
      </c>
      <c r="K498" s="48" t="str">
        <f>IF(ISBLANK(B498),IF(ISBLANK(B499),T(B498),"ERREUR"),IF(ISNUMBER(B498),_xlfn.NUMBERVALUE(B498),IF(ISTEXT(B498),VALUE(B498),"ERREUR")))</f>
        <v/>
      </c>
      <c r="L498" s="38" t="str">
        <f>IF(COUNTIF($R$4:$R$6,C498)&gt;0,C498,IF(ISBLANK(C498),IF(ISBLANK(D498),T(C498),"ERREUR"),"ERREUR"))</f>
        <v/>
      </c>
      <c r="M498" s="49" t="str">
        <f>IF(ISBLANK(D498),IF(ISBLANK(D499),T(D498),"ERREUR"),IF(COUNTIF($T$4:$T$240,SUBSTITUTE(SUBSTITUTE(SUBSTITUTE(SUBSTITUTE(SUBSTITUTE(SUBSTITUTE(UPPER(D498),"Å","A"),"É","E"),"È","E"),"Ê","E"),"Î","I"),"Ï","I"))&gt;0,D498,IF(ISBLANK(D498),T(D498),"ERREUR")))</f>
        <v/>
      </c>
      <c r="N498" s="38" t="str">
        <f>IF(COUNTIF($V$4:$V$6,E498)&gt;0,E498,IF(ISBLANK(E498),IF(ISBLANK(E499),T(E498),"ERREUR"),"ERREUR"))</f>
        <v/>
      </c>
      <c r="O498" s="38" t="str">
        <f>IF(COUNTIF($W$4:$W$5,F498)&gt;0,F498,IF(ISBLANK(F498),IF(ISBLANK(F499),T(F498),"ERREUR"),"ERREUR"))</f>
        <v/>
      </c>
      <c r="P498" s="38" t="str">
        <f>IF(COUNTIF($X$4:$X$8,G498)&gt;0,G498,IF(ISBLANK(G498),IF(ISBLANK(G499),T(G498),"ERREUR"),"ERREUR"))</f>
        <v/>
      </c>
      <c r="Q498" s="38" t="str">
        <f>IF(ISNUMBER(H498),IF(INT(H498)=H498,H498,"ERREUR"),IF(ISBLANK(H498),IF(ISBLANK(H499),T(H498),"ERREUR"),"ERREUR"))</f>
        <v/>
      </c>
      <c r="R498" s="38"/>
      <c r="S498" s="38"/>
      <c r="T498" s="38"/>
      <c r="U498" s="38"/>
      <c r="V498" s="38"/>
      <c r="W498" s="38"/>
      <c r="X498" s="53"/>
      <c r="Y498" s="42"/>
      <c r="Z498" s="42"/>
      <c r="AA498" s="42"/>
    </row>
    <row r="499" ht="13.75" customHeight="1">
      <c r="A499" s="14" t="s">
        <v>140</v>
      </c>
      <c r="B499" s="50"/>
      <c r="C499" s="43"/>
      <c r="D499" s="43"/>
      <c r="E499" s="44"/>
      <c r="F499" s="44"/>
      <c r="G499" s="44"/>
      <c r="H499" s="45"/>
      <c r="I499" s="54"/>
      <c r="J499" s="47" t="str">
        <f>IF(OR(K499="ERREUR",L499="ERREUR",M499="ERREUR",N499="ERREUR",O499="ERREUR",P499="ERREUR",Q499="ERREUR"),"ERREUR",IF(AND(K499="",L499="",M499="",N499="",O499="",P499="",Q499=""),"ligne vide",IF(OR(K499="",L499="",M499="",N499="",O499="",P499="",Q499=""),"ligne incomplète","Valide")))</f>
        <v xml:space="preserve">ligne vide</v>
      </c>
      <c r="K499" s="48" t="str">
        <f>IF(ISBLANK(B499),IF(ISBLANK(B500),T(B499),"ERREUR"),IF(ISNUMBER(B499),_xlfn.NUMBERVALUE(B499),IF(ISTEXT(B499),VALUE(B499),"ERREUR")))</f>
        <v/>
      </c>
      <c r="L499" s="38" t="str">
        <f>IF(COUNTIF($R$4:$R$6,C499)&gt;0,C499,IF(ISBLANK(C499),IF(ISBLANK(D499),T(C499),"ERREUR"),"ERREUR"))</f>
        <v/>
      </c>
      <c r="M499" s="49" t="str">
        <f>IF(ISBLANK(D499),IF(ISBLANK(D500),T(D499),"ERREUR"),IF(COUNTIF($T$4:$T$240,SUBSTITUTE(SUBSTITUTE(SUBSTITUTE(SUBSTITUTE(SUBSTITUTE(SUBSTITUTE(UPPER(D499),"Å","A"),"É","E"),"È","E"),"Ê","E"),"Î","I"),"Ï","I"))&gt;0,D499,IF(ISBLANK(D499),T(D499),"ERREUR")))</f>
        <v/>
      </c>
      <c r="N499" s="38" t="str">
        <f>IF(COUNTIF($V$4:$V$6,E499)&gt;0,E499,IF(ISBLANK(E499),IF(ISBLANK(E500),T(E499),"ERREUR"),"ERREUR"))</f>
        <v/>
      </c>
      <c r="O499" s="38" t="str">
        <f>IF(COUNTIF($W$4:$W$5,F499)&gt;0,F499,IF(ISBLANK(F499),IF(ISBLANK(F500),T(F499),"ERREUR"),"ERREUR"))</f>
        <v/>
      </c>
      <c r="P499" s="38" t="str">
        <f>IF(COUNTIF($X$4:$X$8,G499)&gt;0,G499,IF(ISBLANK(G499),IF(ISBLANK(G500),T(G499),"ERREUR"),"ERREUR"))</f>
        <v/>
      </c>
      <c r="Q499" s="38" t="str">
        <f>IF(ISNUMBER(H499),IF(INT(H499)=H499,H499,"ERREUR"),IF(ISBLANK(H499),IF(ISBLANK(H500),T(H499),"ERREUR"),"ERREUR"))</f>
        <v/>
      </c>
      <c r="R499" s="38"/>
      <c r="S499" s="38"/>
      <c r="T499" s="38"/>
      <c r="U499" s="38"/>
      <c r="V499" s="38"/>
      <c r="W499" s="38"/>
      <c r="X499" s="53"/>
      <c r="Y499" s="42"/>
      <c r="Z499" s="42"/>
      <c r="AA499" s="42"/>
    </row>
    <row r="500" ht="13.75" customHeight="1">
      <c r="A500" s="14" t="s">
        <v>140</v>
      </c>
      <c r="B500" s="50"/>
      <c r="C500" s="43"/>
      <c r="D500" s="43"/>
      <c r="E500" s="44"/>
      <c r="F500" s="44"/>
      <c r="G500" s="44"/>
      <c r="H500" s="45"/>
      <c r="I500" s="54"/>
      <c r="J500" s="47" t="str">
        <f>IF(OR(K500="ERREUR",L500="ERREUR",M500="ERREUR",N500="ERREUR",O500="ERREUR",P500="ERREUR",Q500="ERREUR"),"ERREUR",IF(AND(K500="",L500="",M500="",N500="",O500="",P500="",Q500=""),"ligne vide",IF(OR(K500="",L500="",M500="",N500="",O500="",P500="",Q500=""),"ligne incomplète","Valide")))</f>
        <v xml:space="preserve">ligne vide</v>
      </c>
      <c r="K500" s="48" t="str">
        <f>IF(ISBLANK(B500),IF(ISBLANK(B501),T(B500),"ERREUR"),IF(ISNUMBER(B500),_xlfn.NUMBERVALUE(B500),IF(ISTEXT(B500),VALUE(B500),"ERREUR")))</f>
        <v/>
      </c>
      <c r="L500" s="38" t="str">
        <f>IF(COUNTIF($R$4:$R$6,C500)&gt;0,C500,IF(ISBLANK(C500),IF(ISBLANK(D500),T(C500),"ERREUR"),"ERREUR"))</f>
        <v/>
      </c>
      <c r="M500" s="49" t="str">
        <f>IF(ISBLANK(D500),IF(ISBLANK(D501),T(D500),"ERREUR"),IF(COUNTIF($T$4:$T$240,SUBSTITUTE(SUBSTITUTE(SUBSTITUTE(SUBSTITUTE(SUBSTITUTE(SUBSTITUTE(UPPER(D500),"Å","A"),"É","E"),"È","E"),"Ê","E"),"Î","I"),"Ï","I"))&gt;0,D500,IF(ISBLANK(D500),T(D500),"ERREUR")))</f>
        <v/>
      </c>
      <c r="N500" s="38" t="str">
        <f>IF(COUNTIF($V$4:$V$6,E500)&gt;0,E500,IF(ISBLANK(E500),IF(ISBLANK(E501),T(E500),"ERREUR"),"ERREUR"))</f>
        <v/>
      </c>
      <c r="O500" s="38" t="str">
        <f>IF(COUNTIF($W$4:$W$5,F500)&gt;0,F500,IF(ISBLANK(F500),IF(ISBLANK(F501),T(F500),"ERREUR"),"ERREUR"))</f>
        <v/>
      </c>
      <c r="P500" s="38" t="str">
        <f>IF(COUNTIF($X$4:$X$8,G500)&gt;0,G500,IF(ISBLANK(G500),IF(ISBLANK(G501),T(G500),"ERREUR"),"ERREUR"))</f>
        <v/>
      </c>
      <c r="Q500" s="38" t="str">
        <f>IF(ISNUMBER(H500),IF(INT(H500)=H500,H500,"ERREUR"),IF(ISBLANK(H500),IF(ISBLANK(H501),T(H500),"ERREUR"),"ERREUR"))</f>
        <v/>
      </c>
      <c r="R500" s="38"/>
      <c r="S500" s="38"/>
      <c r="T500" s="38"/>
      <c r="U500" s="38"/>
      <c r="V500" s="38"/>
      <c r="W500" s="38"/>
      <c r="X500" s="53"/>
      <c r="Y500" s="42"/>
      <c r="Z500" s="42"/>
      <c r="AA500" s="42"/>
    </row>
    <row r="501" ht="13.75" customHeight="1">
      <c r="A501" s="14" t="s">
        <v>140</v>
      </c>
      <c r="B501" s="50"/>
      <c r="C501" s="43"/>
      <c r="D501" s="43"/>
      <c r="E501" s="44"/>
      <c r="F501" s="44"/>
      <c r="G501" s="44"/>
      <c r="H501" s="45"/>
      <c r="I501" s="54"/>
      <c r="J501" s="47" t="str">
        <f>IF(OR(K501="ERREUR",L501="ERREUR",M501="ERREUR",N501="ERREUR",O501="ERREUR",P501="ERREUR",Q501="ERREUR"),"ERREUR",IF(AND(K501="",L501="",M501="",N501="",O501="",P501="",Q501=""),"ligne vide",IF(OR(K501="",L501="",M501="",N501="",O501="",P501="",Q501=""),"ligne incomplète","Valide")))</f>
        <v xml:space="preserve">ligne vide</v>
      </c>
      <c r="K501" s="48" t="str">
        <f>IF(ISBLANK(B501),IF(ISBLANK(B502),T(B501),"ERREUR"),IF(ISNUMBER(B501),_xlfn.NUMBERVALUE(B501),IF(ISTEXT(B501),VALUE(B501),"ERREUR")))</f>
        <v/>
      </c>
      <c r="L501" s="38" t="str">
        <f>IF(COUNTIF($R$4:$R$6,C501)&gt;0,C501,IF(ISBLANK(C501),IF(ISBLANK(D501),T(C501),"ERREUR"),"ERREUR"))</f>
        <v/>
      </c>
      <c r="M501" s="49" t="str">
        <f>IF(ISBLANK(D501),IF(ISBLANK(D502),T(D501),"ERREUR"),IF(COUNTIF($T$4:$T$240,SUBSTITUTE(SUBSTITUTE(SUBSTITUTE(SUBSTITUTE(SUBSTITUTE(SUBSTITUTE(UPPER(D501),"Å","A"),"É","E"),"È","E"),"Ê","E"),"Î","I"),"Ï","I"))&gt;0,D501,IF(ISBLANK(D501),T(D501),"ERREUR")))</f>
        <v/>
      </c>
      <c r="N501" s="38" t="str">
        <f>IF(COUNTIF($V$4:$V$6,E501)&gt;0,E501,IF(ISBLANK(E501),IF(ISBLANK(E502),T(E501),"ERREUR"),"ERREUR"))</f>
        <v/>
      </c>
      <c r="O501" s="38" t="str">
        <f>IF(COUNTIF($W$4:$W$5,F501)&gt;0,F501,IF(ISBLANK(F501),IF(ISBLANK(F502),T(F501),"ERREUR"),"ERREUR"))</f>
        <v/>
      </c>
      <c r="P501" s="38" t="str">
        <f>IF(COUNTIF($X$4:$X$8,G501)&gt;0,G501,IF(ISBLANK(G501),IF(ISBLANK(G502),T(G501),"ERREUR"),"ERREUR"))</f>
        <v/>
      </c>
      <c r="Q501" s="38" t="str">
        <f>IF(ISNUMBER(H501),IF(INT(H501)=H501,H501,"ERREUR"),IF(ISBLANK(H501),IF(ISBLANK(H502),T(H501),"ERREUR"),"ERREUR"))</f>
        <v/>
      </c>
      <c r="R501" s="38"/>
      <c r="S501" s="38"/>
      <c r="T501" s="38"/>
      <c r="U501" s="38"/>
      <c r="V501" s="38"/>
      <c r="W501" s="38"/>
      <c r="X501" s="53"/>
      <c r="Y501" s="42"/>
      <c r="Z501" s="42"/>
      <c r="AA501" s="42"/>
    </row>
    <row r="502" ht="13.75" customHeight="1">
      <c r="A502" s="14" t="s">
        <v>140</v>
      </c>
      <c r="B502" s="50"/>
      <c r="C502" s="43"/>
      <c r="D502" s="43"/>
      <c r="E502" s="44"/>
      <c r="F502" s="44"/>
      <c r="G502" s="44"/>
      <c r="H502" s="45"/>
      <c r="I502" s="54"/>
      <c r="J502" s="47" t="str">
        <f>IF(OR(K502="ERREUR",L502="ERREUR",M502="ERREUR",N502="ERREUR",O502="ERREUR",P502="ERREUR",Q502="ERREUR"),"ERREUR",IF(AND(K502="",L502="",M502="",N502="",O502="",P502="",Q502=""),"ligne vide",IF(OR(K502="",L502="",M502="",N502="",O502="",P502="",Q502=""),"ligne incomplète","Valide")))</f>
        <v xml:space="preserve">ligne vide</v>
      </c>
      <c r="K502" s="48" t="str">
        <f>IF(ISBLANK(B502),IF(ISBLANK(B503),T(B502),"ERREUR"),IF(ISNUMBER(B502),_xlfn.NUMBERVALUE(B502),IF(ISTEXT(B502),VALUE(B502),"ERREUR")))</f>
        <v/>
      </c>
      <c r="L502" s="38" t="str">
        <f>IF(COUNTIF($R$4:$R$6,C502)&gt;0,C502,IF(ISBLANK(C502),IF(ISBLANK(D502),T(C502),"ERREUR"),"ERREUR"))</f>
        <v/>
      </c>
      <c r="M502" s="49" t="str">
        <f>IF(ISBLANK(D502),IF(ISBLANK(D503),T(D502),"ERREUR"),IF(COUNTIF($T$4:$T$240,SUBSTITUTE(SUBSTITUTE(SUBSTITUTE(SUBSTITUTE(SUBSTITUTE(SUBSTITUTE(UPPER(D502),"Å","A"),"É","E"),"È","E"),"Ê","E"),"Î","I"),"Ï","I"))&gt;0,D502,IF(ISBLANK(D502),T(D502),"ERREUR")))</f>
        <v/>
      </c>
      <c r="N502" s="38" t="str">
        <f>IF(COUNTIF($V$4:$V$6,E502)&gt;0,E502,IF(ISBLANK(E502),IF(ISBLANK(E503),T(E502),"ERREUR"),"ERREUR"))</f>
        <v/>
      </c>
      <c r="O502" s="38" t="str">
        <f>IF(COUNTIF($W$4:$W$5,F502)&gt;0,F502,IF(ISBLANK(F502),IF(ISBLANK(F503),T(F502),"ERREUR"),"ERREUR"))</f>
        <v/>
      </c>
      <c r="P502" s="38" t="str">
        <f>IF(COUNTIF($X$4:$X$8,G502)&gt;0,G502,IF(ISBLANK(G502),IF(ISBLANK(G503),T(G502),"ERREUR"),"ERREUR"))</f>
        <v/>
      </c>
      <c r="Q502" s="38" t="str">
        <f>IF(ISNUMBER(H502),IF(INT(H502)=H502,H502,"ERREUR"),IF(ISBLANK(H502),IF(ISBLANK(H503),T(H502),"ERREUR"),"ERREUR"))</f>
        <v/>
      </c>
      <c r="R502" s="38"/>
      <c r="S502" s="38"/>
      <c r="T502" s="38"/>
      <c r="U502" s="38"/>
      <c r="V502" s="38"/>
      <c r="W502" s="38"/>
      <c r="X502" s="53"/>
      <c r="Y502" s="42"/>
      <c r="Z502" s="42"/>
      <c r="AA502" s="42"/>
    </row>
    <row r="503" ht="13.75" customHeight="1">
      <c r="A503" s="14" t="s">
        <v>140</v>
      </c>
      <c r="B503" s="50"/>
      <c r="C503" s="43"/>
      <c r="D503" s="43"/>
      <c r="E503" s="44"/>
      <c r="F503" s="44"/>
      <c r="G503" s="44"/>
      <c r="H503" s="45"/>
      <c r="I503" s="54"/>
      <c r="J503" s="47" t="str">
        <f>IF(OR(K503="ERREUR",L503="ERREUR",M503="ERREUR",N503="ERREUR",O503="ERREUR",P503="ERREUR",Q503="ERREUR"),"ERREUR",IF(AND(K503="",L503="",M503="",N503="",O503="",P503="",Q503=""),"ligne vide",IF(OR(K503="",L503="",M503="",N503="",O503="",P503="",Q503=""),"ligne incomplète","Valide")))</f>
        <v xml:space="preserve">ligne vide</v>
      </c>
      <c r="K503" s="48" t="str">
        <f>IF(ISBLANK(B503),IF(ISBLANK(B504),T(B503),"ERREUR"),IF(ISNUMBER(B503),_xlfn.NUMBERVALUE(B503),IF(ISTEXT(B503),VALUE(B503),"ERREUR")))</f>
        <v/>
      </c>
      <c r="L503" s="38" t="str">
        <f>IF(COUNTIF($R$4:$R$6,C503)&gt;0,C503,IF(ISBLANK(C503),IF(ISBLANK(D503),T(C503),"ERREUR"),"ERREUR"))</f>
        <v/>
      </c>
      <c r="M503" s="49" t="str">
        <f>IF(ISBLANK(D503),IF(ISBLANK(D504),T(D503),"ERREUR"),IF(COUNTIF($T$4:$T$240,SUBSTITUTE(SUBSTITUTE(SUBSTITUTE(SUBSTITUTE(SUBSTITUTE(SUBSTITUTE(UPPER(D503),"Å","A"),"É","E"),"È","E"),"Ê","E"),"Î","I"),"Ï","I"))&gt;0,D503,IF(ISBLANK(D503),T(D503),"ERREUR")))</f>
        <v/>
      </c>
      <c r="N503" s="38" t="str">
        <f>IF(COUNTIF($V$4:$V$6,E503)&gt;0,E503,IF(ISBLANK(E503),IF(ISBLANK(E504),T(E503),"ERREUR"),"ERREUR"))</f>
        <v/>
      </c>
      <c r="O503" s="38" t="str">
        <f>IF(COUNTIF($W$4:$W$5,F503)&gt;0,F503,IF(ISBLANK(F503),IF(ISBLANK(F504),T(F503),"ERREUR"),"ERREUR"))</f>
        <v/>
      </c>
      <c r="P503" s="38" t="str">
        <f>IF(COUNTIF($X$4:$X$8,G503)&gt;0,G503,IF(ISBLANK(G503),IF(ISBLANK(G504),T(G503),"ERREUR"),"ERREUR"))</f>
        <v/>
      </c>
      <c r="Q503" s="38" t="str">
        <f>IF(ISNUMBER(H503),IF(INT(H503)=H503,H503,"ERREUR"),IF(ISBLANK(H503),IF(ISBLANK(H504),T(H503),"ERREUR"),"ERREUR"))</f>
        <v/>
      </c>
      <c r="R503" s="38"/>
      <c r="S503" s="38"/>
      <c r="T503" s="38"/>
      <c r="U503" s="38"/>
      <c r="V503" s="38"/>
      <c r="W503" s="38"/>
      <c r="X503" s="53"/>
      <c r="Y503" s="42"/>
      <c r="Z503" s="42"/>
      <c r="AA503" s="42"/>
    </row>
    <row r="504" ht="13.75" customHeight="1">
      <c r="A504" s="14" t="s">
        <v>140</v>
      </c>
      <c r="B504" s="56"/>
      <c r="C504" s="57"/>
      <c r="D504" s="57"/>
      <c r="E504" s="57"/>
      <c r="F504" s="57"/>
      <c r="G504" s="57"/>
      <c r="H504" s="58"/>
      <c r="I504" s="54"/>
      <c r="J504" s="59"/>
      <c r="K504" s="38"/>
      <c r="L504" s="38"/>
      <c r="M504" s="38"/>
      <c r="N504" s="38"/>
      <c r="O504" s="38"/>
      <c r="P504" s="38"/>
      <c r="Q504" s="38"/>
      <c r="R504" s="38"/>
      <c r="S504" s="38"/>
      <c r="T504" s="38"/>
      <c r="U504" s="38"/>
      <c r="V504" s="38"/>
      <c r="W504" s="38"/>
      <c r="X504" s="53"/>
      <c r="Y504" s="42"/>
      <c r="Z504" s="42"/>
      <c r="AA504" s="42"/>
    </row>
    <row r="505" ht="13.75" customHeight="1">
      <c r="A505" s="14" t="s">
        <v>140</v>
      </c>
      <c r="B505" s="56"/>
      <c r="C505" s="57"/>
      <c r="D505" s="57"/>
      <c r="E505" s="57"/>
      <c r="F505" s="57"/>
      <c r="G505" s="57"/>
      <c r="H505" s="58"/>
      <c r="I505" s="54"/>
      <c r="J505" s="59"/>
      <c r="K505" s="38"/>
      <c r="L505" s="38"/>
      <c r="M505" s="38"/>
      <c r="N505" s="38"/>
      <c r="O505" s="38"/>
      <c r="P505" s="38"/>
      <c r="Q505" s="38"/>
      <c r="R505" s="38"/>
      <c r="S505" s="38"/>
      <c r="T505" s="38"/>
      <c r="U505" s="38"/>
      <c r="V505" s="38"/>
      <c r="W505" s="38"/>
      <c r="X505" s="53"/>
      <c r="Y505" s="42"/>
      <c r="Z505" s="42"/>
      <c r="AA505" s="42"/>
    </row>
    <row r="506" ht="13.75" customHeight="1">
      <c r="A506" s="14" t="s">
        <v>140</v>
      </c>
      <c r="B506" s="56"/>
      <c r="C506" s="57"/>
      <c r="D506" s="57"/>
      <c r="E506" s="57"/>
      <c r="F506" s="57"/>
      <c r="G506" s="57"/>
      <c r="H506" s="58"/>
      <c r="I506" s="54"/>
      <c r="J506" s="59"/>
      <c r="K506" s="38"/>
      <c r="L506" s="38"/>
      <c r="M506" s="38"/>
      <c r="N506" s="38"/>
      <c r="O506" s="38"/>
      <c r="P506" s="38"/>
      <c r="Q506" s="38"/>
      <c r="R506" s="38"/>
      <c r="S506" s="38"/>
      <c r="T506" s="38"/>
      <c r="U506" s="38"/>
      <c r="V506" s="38"/>
      <c r="W506" s="38"/>
      <c r="X506" s="53"/>
      <c r="Y506" s="42"/>
      <c r="Z506" s="42"/>
      <c r="AA506" s="42"/>
    </row>
    <row r="507" ht="13.75" customHeight="1">
      <c r="A507" s="14" t="s">
        <v>140</v>
      </c>
      <c r="B507" s="56"/>
      <c r="C507" s="57"/>
      <c r="D507" s="57"/>
      <c r="E507" s="57"/>
      <c r="F507" s="57"/>
      <c r="G507" s="57"/>
      <c r="H507" s="58"/>
      <c r="I507" s="54"/>
      <c r="J507" s="59"/>
      <c r="K507" s="38"/>
      <c r="L507" s="38"/>
      <c r="M507" s="38"/>
      <c r="N507" s="38"/>
      <c r="O507" s="38"/>
      <c r="P507" s="38"/>
      <c r="Q507" s="38"/>
      <c r="R507" s="38"/>
      <c r="S507" s="38"/>
      <c r="T507" s="38"/>
      <c r="U507" s="38"/>
      <c r="V507" s="38"/>
      <c r="W507" s="38"/>
      <c r="X507" s="53"/>
      <c r="Y507" s="42"/>
      <c r="Z507" s="42"/>
      <c r="AA507" s="42"/>
    </row>
    <row r="508" ht="13.75" customHeight="1">
      <c r="A508" s="14" t="s">
        <v>140</v>
      </c>
      <c r="B508" s="56"/>
      <c r="C508" s="57"/>
      <c r="D508" s="57"/>
      <c r="E508" s="57"/>
      <c r="F508" s="57"/>
      <c r="G508" s="57"/>
      <c r="H508" s="58"/>
      <c r="I508" s="54"/>
      <c r="J508" s="59"/>
      <c r="K508" s="38"/>
      <c r="L508" s="38"/>
      <c r="M508" s="38"/>
      <c r="N508" s="38"/>
      <c r="O508" s="38"/>
      <c r="P508" s="38"/>
      <c r="Q508" s="38"/>
      <c r="R508" s="38"/>
      <c r="S508" s="38"/>
      <c r="T508" s="38"/>
      <c r="U508" s="38"/>
      <c r="V508" s="38"/>
      <c r="W508" s="38"/>
      <c r="X508" s="53"/>
      <c r="Y508" s="42"/>
      <c r="Z508" s="42"/>
      <c r="AA508" s="42"/>
    </row>
    <row r="509" ht="13.75" customHeight="1">
      <c r="A509" s="14" t="s">
        <v>140</v>
      </c>
      <c r="B509" s="56"/>
      <c r="C509" s="57"/>
      <c r="D509" s="57"/>
      <c r="E509" s="57"/>
      <c r="F509" s="57"/>
      <c r="G509" s="57"/>
      <c r="H509" s="58"/>
      <c r="I509" s="54"/>
      <c r="J509" s="59"/>
      <c r="K509" s="38"/>
      <c r="L509" s="38"/>
      <c r="M509" s="38"/>
      <c r="N509" s="38"/>
      <c r="O509" s="38"/>
      <c r="P509" s="38"/>
      <c r="Q509" s="38"/>
      <c r="R509" s="38"/>
      <c r="S509" s="38"/>
      <c r="T509" s="38"/>
      <c r="U509" s="38"/>
      <c r="V509" s="38"/>
      <c r="W509" s="38"/>
      <c r="X509" s="53"/>
      <c r="Y509" s="42"/>
      <c r="Z509" s="42"/>
      <c r="AA509" s="42"/>
    </row>
    <row r="510" ht="13.75" customHeight="1">
      <c r="A510" s="14" t="s">
        <v>140</v>
      </c>
      <c r="B510" s="56"/>
      <c r="C510" s="57"/>
      <c r="D510" s="57"/>
      <c r="E510" s="57"/>
      <c r="F510" s="57"/>
      <c r="G510" s="57"/>
      <c r="H510" s="58"/>
      <c r="I510" s="54"/>
      <c r="J510" s="59"/>
      <c r="K510" s="38"/>
      <c r="L510" s="38"/>
      <c r="M510" s="38"/>
      <c r="N510" s="38"/>
      <c r="O510" s="38"/>
      <c r="P510" s="38"/>
      <c r="Q510" s="38"/>
      <c r="R510" s="38"/>
      <c r="S510" s="38"/>
      <c r="T510" s="38"/>
      <c r="U510" s="38"/>
      <c r="V510" s="38"/>
      <c r="W510" s="38"/>
      <c r="X510" s="53"/>
      <c r="Y510" s="42"/>
      <c r="Z510" s="42"/>
      <c r="AA510" s="42"/>
    </row>
    <row r="511" ht="13.75" customHeight="1">
      <c r="A511" s="14" t="s">
        <v>140</v>
      </c>
      <c r="B511" s="56"/>
      <c r="C511" s="57"/>
      <c r="D511" s="57"/>
      <c r="E511" s="57"/>
      <c r="F511" s="57"/>
      <c r="G511" s="57"/>
      <c r="H511" s="58"/>
      <c r="I511" s="54"/>
      <c r="J511" s="59"/>
      <c r="K511" s="38"/>
      <c r="L511" s="38"/>
      <c r="M511" s="38"/>
      <c r="N511" s="38"/>
      <c r="O511" s="38"/>
      <c r="P511" s="38"/>
      <c r="Q511" s="38"/>
      <c r="R511" s="38"/>
      <c r="S511" s="38"/>
      <c r="T511" s="38"/>
      <c r="U511" s="38"/>
      <c r="V511" s="38"/>
      <c r="W511" s="38"/>
      <c r="X511" s="53"/>
      <c r="Y511" s="42"/>
      <c r="Z511" s="42"/>
      <c r="AA511" s="42"/>
    </row>
    <row r="512" ht="13.75" customHeight="1">
      <c r="A512" s="14" t="s">
        <v>140</v>
      </c>
      <c r="B512" s="56"/>
      <c r="C512" s="57"/>
      <c r="D512" s="57"/>
      <c r="E512" s="57"/>
      <c r="F512" s="57"/>
      <c r="G512" s="57"/>
      <c r="H512" s="58"/>
      <c r="I512" s="54"/>
      <c r="J512" s="59"/>
      <c r="K512" s="38"/>
      <c r="L512" s="38"/>
      <c r="M512" s="38"/>
      <c r="N512" s="38"/>
      <c r="O512" s="38"/>
      <c r="P512" s="38"/>
      <c r="Q512" s="38"/>
      <c r="R512" s="38"/>
      <c r="S512" s="38"/>
      <c r="T512" s="38"/>
      <c r="U512" s="38"/>
      <c r="V512" s="38"/>
      <c r="W512" s="38"/>
      <c r="X512" s="53"/>
      <c r="Y512" s="42"/>
      <c r="Z512" s="42"/>
      <c r="AA512" s="42"/>
    </row>
    <row r="513" ht="13.75" customHeight="1">
      <c r="A513" s="14" t="s">
        <v>140</v>
      </c>
      <c r="B513" s="56"/>
      <c r="C513" s="57"/>
      <c r="D513" s="57"/>
      <c r="E513" s="57"/>
      <c r="F513" s="57"/>
      <c r="G513" s="57"/>
      <c r="H513" s="58"/>
      <c r="I513" s="54"/>
      <c r="J513" s="59"/>
      <c r="K513" s="38"/>
      <c r="L513" s="38"/>
      <c r="M513" s="38"/>
      <c r="N513" s="38"/>
      <c r="O513" s="38"/>
      <c r="P513" s="38"/>
      <c r="Q513" s="38"/>
      <c r="R513" s="38"/>
      <c r="S513" s="38"/>
      <c r="T513" s="38"/>
      <c r="U513" s="38"/>
      <c r="V513" s="38"/>
      <c r="W513" s="38"/>
      <c r="X513" s="53"/>
      <c r="Y513" s="42"/>
      <c r="Z513" s="42"/>
      <c r="AA513" s="42"/>
    </row>
    <row r="514" ht="13.75" customHeight="1">
      <c r="A514" s="14" t="s">
        <v>140</v>
      </c>
      <c r="B514" s="56"/>
      <c r="C514" s="57"/>
      <c r="D514" s="57"/>
      <c r="E514" s="57"/>
      <c r="F514" s="57"/>
      <c r="G514" s="57"/>
      <c r="H514" s="58"/>
      <c r="I514" s="54"/>
      <c r="J514" s="59"/>
      <c r="K514" s="38"/>
      <c r="L514" s="38"/>
      <c r="M514" s="38"/>
      <c r="N514" s="38"/>
      <c r="O514" s="38"/>
      <c r="P514" s="38"/>
      <c r="Q514" s="38"/>
      <c r="R514" s="38"/>
      <c r="S514" s="38"/>
      <c r="T514" s="38"/>
      <c r="U514" s="38"/>
      <c r="V514" s="38"/>
      <c r="W514" s="38"/>
      <c r="X514" s="53"/>
      <c r="Y514" s="42"/>
      <c r="Z514" s="42"/>
      <c r="AA514" s="42"/>
    </row>
    <row r="515" ht="13.75" customHeight="1">
      <c r="A515" s="14" t="s">
        <v>140</v>
      </c>
      <c r="B515" s="56"/>
      <c r="C515" s="57"/>
      <c r="D515" s="57"/>
      <c r="E515" s="57"/>
      <c r="F515" s="57"/>
      <c r="G515" s="57"/>
      <c r="H515" s="58"/>
      <c r="I515" s="54"/>
      <c r="J515" s="59"/>
      <c r="K515" s="38"/>
      <c r="L515" s="38"/>
      <c r="M515" s="38"/>
      <c r="N515" s="38"/>
      <c r="O515" s="38"/>
      <c r="P515" s="38"/>
      <c r="Q515" s="38"/>
      <c r="R515" s="38"/>
      <c r="S515" s="38"/>
      <c r="T515" s="38"/>
      <c r="U515" s="38"/>
      <c r="V515" s="38"/>
      <c r="W515" s="38"/>
      <c r="X515" s="53"/>
      <c r="Y515" s="42"/>
      <c r="Z515" s="42"/>
      <c r="AA515" s="42"/>
    </row>
    <row r="516" ht="13.75" customHeight="1">
      <c r="A516" s="14" t="s">
        <v>140</v>
      </c>
      <c r="B516" s="56"/>
      <c r="C516" s="57"/>
      <c r="D516" s="57"/>
      <c r="E516" s="57"/>
      <c r="F516" s="57"/>
      <c r="G516" s="57"/>
      <c r="H516" s="58"/>
      <c r="I516" s="54"/>
      <c r="J516" s="59"/>
      <c r="K516" s="38"/>
      <c r="L516" s="38"/>
      <c r="M516" s="38"/>
      <c r="N516" s="38"/>
      <c r="O516" s="38"/>
      <c r="P516" s="38"/>
      <c r="Q516" s="38"/>
      <c r="R516" s="38"/>
      <c r="S516" s="38"/>
      <c r="T516" s="38"/>
      <c r="U516" s="38"/>
      <c r="V516" s="38"/>
      <c r="W516" s="38"/>
      <c r="X516" s="53"/>
      <c r="Y516" s="42"/>
      <c r="Z516" s="42"/>
      <c r="AA516" s="42"/>
    </row>
    <row r="517" ht="13.75" customHeight="1">
      <c r="A517" s="14" t="s">
        <v>140</v>
      </c>
      <c r="B517" s="56"/>
      <c r="C517" s="57"/>
      <c r="D517" s="57"/>
      <c r="E517" s="57"/>
      <c r="F517" s="57"/>
      <c r="G517" s="57"/>
      <c r="H517" s="58"/>
      <c r="I517" s="54"/>
      <c r="J517" s="59"/>
      <c r="K517" s="38"/>
      <c r="L517" s="38"/>
      <c r="M517" s="38"/>
      <c r="N517" s="38"/>
      <c r="O517" s="38"/>
      <c r="P517" s="38"/>
      <c r="Q517" s="38"/>
      <c r="R517" s="38"/>
      <c r="S517" s="38"/>
      <c r="T517" s="38"/>
      <c r="U517" s="38"/>
      <c r="V517" s="38"/>
      <c r="W517" s="38"/>
      <c r="X517" s="53"/>
      <c r="Y517" s="42"/>
      <c r="Z517" s="42"/>
      <c r="AA517" s="42"/>
    </row>
    <row r="518" ht="13.75" customHeight="1">
      <c r="A518" s="14" t="s">
        <v>140</v>
      </c>
      <c r="B518" s="56"/>
      <c r="C518" s="57"/>
      <c r="D518" s="57"/>
      <c r="E518" s="57"/>
      <c r="F518" s="57"/>
      <c r="G518" s="57"/>
      <c r="H518" s="58"/>
      <c r="I518" s="54"/>
      <c r="J518" s="59"/>
      <c r="K518" s="38"/>
      <c r="L518" s="38"/>
      <c r="M518" s="38"/>
      <c r="N518" s="38"/>
      <c r="O518" s="38"/>
      <c r="P518" s="38"/>
      <c r="Q518" s="38"/>
      <c r="R518" s="38"/>
      <c r="S518" s="38"/>
      <c r="T518" s="38"/>
      <c r="U518" s="38"/>
      <c r="V518" s="38"/>
      <c r="W518" s="38"/>
      <c r="X518" s="53"/>
      <c r="Y518" s="42"/>
      <c r="Z518" s="42"/>
      <c r="AA518" s="42"/>
    </row>
    <row r="519" ht="13.75" customHeight="1">
      <c r="A519" s="14" t="s">
        <v>140</v>
      </c>
      <c r="B519" s="56"/>
      <c r="C519" s="57"/>
      <c r="D519" s="57"/>
      <c r="E519" s="57"/>
      <c r="F519" s="57"/>
      <c r="G519" s="57"/>
      <c r="H519" s="58"/>
      <c r="I519" s="54"/>
      <c r="J519" s="59"/>
      <c r="K519" s="38"/>
      <c r="L519" s="38"/>
      <c r="M519" s="38"/>
      <c r="N519" s="38"/>
      <c r="O519" s="38"/>
      <c r="P519" s="38"/>
      <c r="Q519" s="38"/>
      <c r="R519" s="38"/>
      <c r="S519" s="38"/>
      <c r="T519" s="38"/>
      <c r="U519" s="38"/>
      <c r="V519" s="38"/>
      <c r="W519" s="38"/>
      <c r="X519" s="53"/>
      <c r="Y519" s="42"/>
      <c r="Z519" s="42"/>
      <c r="AA519" s="42"/>
    </row>
    <row r="520" ht="13.75" customHeight="1">
      <c r="A520" s="14" t="s">
        <v>140</v>
      </c>
      <c r="B520" s="56"/>
      <c r="C520" s="57"/>
      <c r="D520" s="57"/>
      <c r="E520" s="57"/>
      <c r="F520" s="57"/>
      <c r="G520" s="57"/>
      <c r="H520" s="58"/>
      <c r="I520" s="54"/>
      <c r="J520" s="59"/>
      <c r="K520" s="38"/>
      <c r="L520" s="38"/>
      <c r="M520" s="38"/>
      <c r="N520" s="38"/>
      <c r="O520" s="38"/>
      <c r="P520" s="38"/>
      <c r="Q520" s="38"/>
      <c r="R520" s="38"/>
      <c r="S520" s="38"/>
      <c r="T520" s="38"/>
      <c r="U520" s="38"/>
      <c r="V520" s="38"/>
      <c r="W520" s="38"/>
      <c r="X520" s="53"/>
      <c r="Y520" s="42"/>
      <c r="Z520" s="42"/>
      <c r="AA520" s="42"/>
    </row>
    <row r="521" ht="13.75" customHeight="1">
      <c r="A521" s="14" t="s">
        <v>140</v>
      </c>
      <c r="B521" s="56"/>
      <c r="C521" s="57"/>
      <c r="D521" s="57"/>
      <c r="E521" s="57"/>
      <c r="F521" s="57"/>
      <c r="G521" s="57"/>
      <c r="H521" s="58"/>
      <c r="I521" s="54"/>
      <c r="J521" s="59"/>
      <c r="K521" s="38"/>
      <c r="L521" s="38"/>
      <c r="M521" s="38"/>
      <c r="N521" s="38"/>
      <c r="O521" s="38"/>
      <c r="P521" s="38"/>
      <c r="Q521" s="38"/>
      <c r="R521" s="38"/>
      <c r="S521" s="38"/>
      <c r="T521" s="38"/>
      <c r="U521" s="38"/>
      <c r="V521" s="38"/>
      <c r="W521" s="38"/>
      <c r="X521" s="53"/>
      <c r="Y521" s="42"/>
      <c r="Z521" s="42"/>
      <c r="AA521" s="42"/>
    </row>
    <row r="522" ht="13.75" customHeight="1">
      <c r="A522" s="14" t="s">
        <v>140</v>
      </c>
      <c r="B522" s="56"/>
      <c r="C522" s="57"/>
      <c r="D522" s="57"/>
      <c r="E522" s="57"/>
      <c r="F522" s="57"/>
      <c r="G522" s="57"/>
      <c r="H522" s="58"/>
      <c r="I522" s="54"/>
      <c r="J522" s="59"/>
      <c r="K522" s="38"/>
      <c r="L522" s="38"/>
      <c r="M522" s="38"/>
      <c r="N522" s="38"/>
      <c r="O522" s="38"/>
      <c r="P522" s="38"/>
      <c r="Q522" s="38"/>
      <c r="R522" s="38"/>
      <c r="S522" s="38"/>
      <c r="T522" s="38"/>
      <c r="U522" s="38"/>
      <c r="V522" s="38"/>
      <c r="W522" s="38"/>
      <c r="X522" s="53"/>
      <c r="Y522" s="42"/>
      <c r="Z522" s="42"/>
      <c r="AA522" s="42"/>
    </row>
    <row r="523" ht="13.75" customHeight="1">
      <c r="A523" s="14" t="s">
        <v>140</v>
      </c>
      <c r="B523" s="56"/>
      <c r="C523" s="57"/>
      <c r="D523" s="57"/>
      <c r="E523" s="57"/>
      <c r="F523" s="57"/>
      <c r="G523" s="57"/>
      <c r="H523" s="58"/>
      <c r="I523" s="54"/>
      <c r="J523" s="59"/>
      <c r="K523" s="38"/>
      <c r="L523" s="38"/>
      <c r="M523" s="38"/>
      <c r="N523" s="38"/>
      <c r="O523" s="38"/>
      <c r="P523" s="38"/>
      <c r="Q523" s="38"/>
      <c r="R523" s="38"/>
      <c r="S523" s="38"/>
      <c r="T523" s="38"/>
      <c r="U523" s="38"/>
      <c r="V523" s="38"/>
      <c r="W523" s="38"/>
      <c r="X523" s="53"/>
      <c r="Y523" s="42"/>
      <c r="Z523" s="42"/>
      <c r="AA523" s="42"/>
    </row>
    <row r="524" ht="13.75" customHeight="1">
      <c r="A524" s="14" t="s">
        <v>140</v>
      </c>
      <c r="B524" s="56"/>
      <c r="C524" s="57"/>
      <c r="D524" s="57"/>
      <c r="E524" s="57"/>
      <c r="F524" s="57"/>
      <c r="G524" s="57"/>
      <c r="H524" s="58"/>
      <c r="I524" s="54"/>
      <c r="J524" s="59"/>
      <c r="K524" s="38"/>
      <c r="L524" s="38"/>
      <c r="M524" s="38"/>
      <c r="N524" s="38"/>
      <c r="O524" s="38"/>
      <c r="P524" s="38"/>
      <c r="Q524" s="38"/>
      <c r="R524" s="38"/>
      <c r="S524" s="38"/>
      <c r="T524" s="38"/>
      <c r="U524" s="38"/>
      <c r="V524" s="38"/>
      <c r="W524" s="38"/>
      <c r="X524" s="53"/>
      <c r="Y524" s="42"/>
      <c r="Z524" s="42"/>
      <c r="AA524" s="42"/>
    </row>
    <row r="525" ht="13.75" customHeight="1">
      <c r="A525" s="14" t="s">
        <v>140</v>
      </c>
      <c r="B525" s="56"/>
      <c r="C525" s="57"/>
      <c r="D525" s="57"/>
      <c r="E525" s="57"/>
      <c r="F525" s="57"/>
      <c r="G525" s="57"/>
      <c r="H525" s="58"/>
      <c r="I525" s="54"/>
      <c r="J525" s="59"/>
      <c r="K525" s="38"/>
      <c r="L525" s="38"/>
      <c r="M525" s="38"/>
      <c r="N525" s="38"/>
      <c r="O525" s="38"/>
      <c r="P525" s="38"/>
      <c r="Q525" s="38"/>
      <c r="R525" s="38"/>
      <c r="S525" s="38"/>
      <c r="T525" s="38"/>
      <c r="U525" s="38"/>
      <c r="V525" s="38"/>
      <c r="W525" s="38"/>
      <c r="X525" s="53"/>
      <c r="Y525" s="42"/>
      <c r="Z525" s="42"/>
      <c r="AA525" s="42"/>
    </row>
    <row r="526" ht="13.75" customHeight="1">
      <c r="A526" s="14" t="s">
        <v>140</v>
      </c>
      <c r="B526" s="56"/>
      <c r="C526" s="57"/>
      <c r="D526" s="57"/>
      <c r="E526" s="57"/>
      <c r="F526" s="57"/>
      <c r="G526" s="57"/>
      <c r="H526" s="58"/>
      <c r="I526" s="54"/>
      <c r="J526" s="59"/>
      <c r="K526" s="38"/>
      <c r="L526" s="38"/>
      <c r="M526" s="38"/>
      <c r="N526" s="38"/>
      <c r="O526" s="38"/>
      <c r="P526" s="38"/>
      <c r="Q526" s="38"/>
      <c r="R526" s="38"/>
      <c r="S526" s="38"/>
      <c r="T526" s="38"/>
      <c r="U526" s="38"/>
      <c r="V526" s="38"/>
      <c r="W526" s="38"/>
      <c r="X526" s="53"/>
      <c r="Y526" s="42"/>
      <c r="Z526" s="42"/>
      <c r="AA526" s="42"/>
    </row>
    <row r="527" ht="13.75" customHeight="1">
      <c r="A527" s="14" t="s">
        <v>140</v>
      </c>
      <c r="B527" s="56"/>
      <c r="C527" s="57"/>
      <c r="D527" s="57"/>
      <c r="E527" s="57"/>
      <c r="F527" s="57"/>
      <c r="G527" s="57"/>
      <c r="H527" s="58"/>
      <c r="I527" s="54"/>
      <c r="J527" s="59"/>
      <c r="K527" s="38"/>
      <c r="L527" s="38"/>
      <c r="M527" s="38"/>
      <c r="N527" s="38"/>
      <c r="O527" s="38"/>
      <c r="P527" s="38"/>
      <c r="Q527" s="38"/>
      <c r="R527" s="38"/>
      <c r="S527" s="38"/>
      <c r="T527" s="38"/>
      <c r="U527" s="38"/>
      <c r="V527" s="38"/>
      <c r="W527" s="38"/>
      <c r="X527" s="53"/>
      <c r="Y527" s="42"/>
      <c r="Z527" s="42"/>
      <c r="AA527" s="42"/>
    </row>
    <row r="528" ht="13.75" customHeight="1">
      <c r="A528" s="14" t="s">
        <v>140</v>
      </c>
      <c r="B528" s="56"/>
      <c r="C528" s="57"/>
      <c r="D528" s="57"/>
      <c r="E528" s="57"/>
      <c r="F528" s="57"/>
      <c r="G528" s="57"/>
      <c r="H528" s="58"/>
      <c r="I528" s="54"/>
      <c r="J528" s="59"/>
      <c r="K528" s="38"/>
      <c r="L528" s="38"/>
      <c r="M528" s="38"/>
      <c r="N528" s="38"/>
      <c r="O528" s="38"/>
      <c r="P528" s="38"/>
      <c r="Q528" s="38"/>
      <c r="R528" s="38"/>
      <c r="S528" s="38"/>
      <c r="T528" s="38"/>
      <c r="U528" s="38"/>
      <c r="V528" s="38"/>
      <c r="W528" s="38"/>
      <c r="X528" s="53"/>
      <c r="Y528" s="42"/>
      <c r="Z528" s="42"/>
      <c r="AA528" s="42"/>
    </row>
    <row r="529" ht="13.75" customHeight="1">
      <c r="A529" s="14" t="s">
        <v>140</v>
      </c>
      <c r="B529" s="56"/>
      <c r="C529" s="57"/>
      <c r="D529" s="57"/>
      <c r="E529" s="57"/>
      <c r="F529" s="57"/>
      <c r="G529" s="57"/>
      <c r="H529" s="58"/>
      <c r="I529" s="54"/>
      <c r="J529" s="59"/>
      <c r="K529" s="38"/>
      <c r="L529" s="38"/>
      <c r="M529" s="38"/>
      <c r="N529" s="38"/>
      <c r="O529" s="38"/>
      <c r="P529" s="38"/>
      <c r="Q529" s="38"/>
      <c r="R529" s="38"/>
      <c r="S529" s="38"/>
      <c r="T529" s="38"/>
      <c r="U529" s="38"/>
      <c r="V529" s="38"/>
      <c r="W529" s="38"/>
      <c r="X529" s="53"/>
      <c r="Y529" s="42"/>
      <c r="Z529" s="42"/>
      <c r="AA529" s="42"/>
    </row>
    <row r="530" ht="13.75" customHeight="1">
      <c r="A530" s="14" t="s">
        <v>140</v>
      </c>
      <c r="B530" s="56"/>
      <c r="C530" s="57"/>
      <c r="D530" s="57"/>
      <c r="E530" s="57"/>
      <c r="F530" s="57"/>
      <c r="G530" s="57"/>
      <c r="H530" s="58"/>
      <c r="I530" s="54"/>
      <c r="J530" s="59"/>
      <c r="K530" s="38"/>
      <c r="L530" s="38"/>
      <c r="M530" s="38"/>
      <c r="N530" s="38"/>
      <c r="O530" s="38"/>
      <c r="P530" s="38"/>
      <c r="Q530" s="38"/>
      <c r="R530" s="38"/>
      <c r="S530" s="38"/>
      <c r="T530" s="38"/>
      <c r="U530" s="38"/>
      <c r="V530" s="38"/>
      <c r="W530" s="38"/>
      <c r="X530" s="53"/>
      <c r="Y530" s="42"/>
      <c r="Z530" s="42"/>
      <c r="AA530" s="42"/>
    </row>
    <row r="531" ht="13.75" customHeight="1">
      <c r="A531" s="14" t="s">
        <v>140</v>
      </c>
      <c r="B531" s="56"/>
      <c r="C531" s="57"/>
      <c r="D531" s="57"/>
      <c r="E531" s="57"/>
      <c r="F531" s="57"/>
      <c r="G531" s="57"/>
      <c r="H531" s="58"/>
      <c r="I531" s="54"/>
      <c r="J531" s="59"/>
      <c r="K531" s="38"/>
      <c r="L531" s="38"/>
      <c r="M531" s="38"/>
      <c r="N531" s="38"/>
      <c r="O531" s="38"/>
      <c r="P531" s="38"/>
      <c r="Q531" s="38"/>
      <c r="R531" s="38"/>
      <c r="S531" s="38"/>
      <c r="T531" s="38"/>
      <c r="U531" s="38"/>
      <c r="V531" s="38"/>
      <c r="W531" s="38"/>
      <c r="X531" s="53"/>
      <c r="Y531" s="42"/>
      <c r="Z531" s="42"/>
      <c r="AA531" s="42"/>
    </row>
    <row r="532" ht="13.75" customHeight="1">
      <c r="A532" s="14" t="s">
        <v>140</v>
      </c>
      <c r="B532" s="56"/>
      <c r="C532" s="57"/>
      <c r="D532" s="57"/>
      <c r="E532" s="57"/>
      <c r="F532" s="57"/>
      <c r="G532" s="57"/>
      <c r="H532" s="58"/>
      <c r="I532" s="54"/>
      <c r="J532" s="59"/>
      <c r="K532" s="38"/>
      <c r="L532" s="38"/>
      <c r="M532" s="38"/>
      <c r="N532" s="38"/>
      <c r="O532" s="38"/>
      <c r="P532" s="38"/>
      <c r="Q532" s="38"/>
      <c r="R532" s="38"/>
      <c r="S532" s="38"/>
      <c r="T532" s="38"/>
      <c r="U532" s="38"/>
      <c r="V532" s="38"/>
      <c r="W532" s="38"/>
      <c r="X532" s="53"/>
      <c r="Y532" s="42"/>
      <c r="Z532" s="42"/>
      <c r="AA532" s="42"/>
    </row>
    <row r="533" ht="13.75" customHeight="1">
      <c r="A533" s="14" t="s">
        <v>140</v>
      </c>
      <c r="B533" s="56"/>
      <c r="C533" s="57"/>
      <c r="D533" s="57"/>
      <c r="E533" s="57"/>
      <c r="F533" s="57"/>
      <c r="G533" s="57"/>
      <c r="H533" s="58"/>
      <c r="I533" s="54"/>
      <c r="J533" s="59"/>
      <c r="K533" s="38"/>
      <c r="L533" s="38"/>
      <c r="M533" s="38"/>
      <c r="N533" s="38"/>
      <c r="O533" s="38"/>
      <c r="P533" s="38"/>
      <c r="Q533" s="38"/>
      <c r="R533" s="38"/>
      <c r="S533" s="38"/>
      <c r="T533" s="38"/>
      <c r="U533" s="38"/>
      <c r="V533" s="38"/>
      <c r="W533" s="38"/>
      <c r="X533" s="53"/>
      <c r="Y533" s="42"/>
      <c r="Z533" s="42"/>
      <c r="AA533" s="42"/>
    </row>
    <row r="534" ht="13.75" customHeight="1">
      <c r="A534" s="14" t="s">
        <v>140</v>
      </c>
      <c r="B534" s="56"/>
      <c r="C534" s="57"/>
      <c r="D534" s="57"/>
      <c r="E534" s="57"/>
      <c r="F534" s="57"/>
      <c r="G534" s="57"/>
      <c r="H534" s="58"/>
      <c r="I534" s="54"/>
      <c r="J534" s="59"/>
      <c r="K534" s="38"/>
      <c r="L534" s="38"/>
      <c r="M534" s="38"/>
      <c r="N534" s="38"/>
      <c r="O534" s="38"/>
      <c r="P534" s="38"/>
      <c r="Q534" s="38"/>
      <c r="R534" s="38"/>
      <c r="S534" s="38"/>
      <c r="T534" s="38"/>
      <c r="U534" s="38"/>
      <c r="V534" s="38"/>
      <c r="W534" s="38"/>
      <c r="X534" s="53"/>
      <c r="Y534" s="42"/>
      <c r="Z534" s="42"/>
      <c r="AA534" s="42"/>
    </row>
    <row r="535" ht="13.75" customHeight="1">
      <c r="A535" s="14" t="s">
        <v>140</v>
      </c>
      <c r="B535" s="56"/>
      <c r="C535" s="57"/>
      <c r="D535" s="57"/>
      <c r="E535" s="57"/>
      <c r="F535" s="57"/>
      <c r="G535" s="57"/>
      <c r="H535" s="58"/>
      <c r="I535" s="54"/>
      <c r="J535" s="59"/>
      <c r="K535" s="38"/>
      <c r="L535" s="38"/>
      <c r="M535" s="38"/>
      <c r="N535" s="38"/>
      <c r="O535" s="38"/>
      <c r="P535" s="38"/>
      <c r="Q535" s="38"/>
      <c r="R535" s="38"/>
      <c r="S535" s="38"/>
      <c r="T535" s="38"/>
      <c r="U535" s="38"/>
      <c r="V535" s="38"/>
      <c r="W535" s="38"/>
      <c r="X535" s="53"/>
      <c r="Y535" s="42"/>
      <c r="Z535" s="42"/>
      <c r="AA535" s="42"/>
    </row>
    <row r="536" ht="13.75" customHeight="1">
      <c r="A536" s="14" t="s">
        <v>140</v>
      </c>
      <c r="B536" s="56"/>
      <c r="C536" s="57"/>
      <c r="D536" s="57"/>
      <c r="E536" s="57"/>
      <c r="F536" s="57"/>
      <c r="G536" s="57"/>
      <c r="H536" s="58"/>
      <c r="I536" s="54"/>
      <c r="J536" s="59"/>
      <c r="K536" s="38"/>
      <c r="L536" s="38"/>
      <c r="M536" s="38"/>
      <c r="N536" s="38"/>
      <c r="O536" s="38"/>
      <c r="P536" s="38"/>
      <c r="Q536" s="38"/>
      <c r="R536" s="38"/>
      <c r="S536" s="38"/>
      <c r="T536" s="38"/>
      <c r="U536" s="38"/>
      <c r="V536" s="38"/>
      <c r="W536" s="38"/>
      <c r="X536" s="53"/>
      <c r="Y536" s="42"/>
      <c r="Z536" s="42"/>
      <c r="AA536" s="42"/>
    </row>
    <row r="537" ht="13.75" customHeight="1">
      <c r="A537" s="14" t="s">
        <v>140</v>
      </c>
      <c r="B537" s="56"/>
      <c r="C537" s="57"/>
      <c r="D537" s="57"/>
      <c r="E537" s="57"/>
      <c r="F537" s="57"/>
      <c r="G537" s="57"/>
      <c r="H537" s="58"/>
      <c r="I537" s="54"/>
      <c r="J537" s="59"/>
      <c r="K537" s="38"/>
      <c r="L537" s="38"/>
      <c r="M537" s="38"/>
      <c r="N537" s="38"/>
      <c r="O537" s="38"/>
      <c r="P537" s="38"/>
      <c r="Q537" s="38"/>
      <c r="R537" s="38"/>
      <c r="S537" s="38"/>
      <c r="T537" s="38"/>
      <c r="U537" s="38"/>
      <c r="V537" s="38"/>
      <c r="W537" s="38"/>
      <c r="X537" s="53"/>
      <c r="Y537" s="42"/>
      <c r="Z537" s="42"/>
      <c r="AA537" s="42"/>
    </row>
    <row r="538" ht="13.75" customHeight="1">
      <c r="A538" s="14" t="s">
        <v>140</v>
      </c>
      <c r="B538" s="56"/>
      <c r="C538" s="57"/>
      <c r="D538" s="57"/>
      <c r="E538" s="57"/>
      <c r="F538" s="57"/>
      <c r="G538" s="57"/>
      <c r="H538" s="58"/>
      <c r="I538" s="54"/>
      <c r="J538" s="59"/>
      <c r="K538" s="38"/>
      <c r="L538" s="38"/>
      <c r="M538" s="38"/>
      <c r="N538" s="38"/>
      <c r="O538" s="38"/>
      <c r="P538" s="38"/>
      <c r="Q538" s="38"/>
      <c r="R538" s="38"/>
      <c r="S538" s="38"/>
      <c r="T538" s="38"/>
      <c r="U538" s="38"/>
      <c r="V538" s="38"/>
      <c r="W538" s="38"/>
      <c r="X538" s="53"/>
      <c r="Y538" s="42"/>
      <c r="Z538" s="42"/>
      <c r="AA538" s="42"/>
    </row>
    <row r="539" ht="13.75" customHeight="1">
      <c r="A539" s="14" t="s">
        <v>140</v>
      </c>
      <c r="B539" s="56"/>
      <c r="C539" s="57"/>
      <c r="D539" s="57"/>
      <c r="E539" s="57"/>
      <c r="F539" s="57"/>
      <c r="G539" s="57"/>
      <c r="H539" s="58"/>
      <c r="I539" s="54"/>
      <c r="J539" s="59"/>
      <c r="K539" s="38"/>
      <c r="L539" s="38"/>
      <c r="M539" s="38"/>
      <c r="N539" s="38"/>
      <c r="O539" s="38"/>
      <c r="P539" s="38"/>
      <c r="Q539" s="38"/>
      <c r="R539" s="38"/>
      <c r="S539" s="38"/>
      <c r="T539" s="38"/>
      <c r="U539" s="38"/>
      <c r="V539" s="38"/>
      <c r="W539" s="38"/>
      <c r="X539" s="53"/>
      <c r="Y539" s="42"/>
      <c r="Z539" s="42"/>
      <c r="AA539" s="42"/>
    </row>
    <row r="540" ht="13.75" customHeight="1">
      <c r="A540" s="14" t="s">
        <v>140</v>
      </c>
      <c r="B540" s="56"/>
      <c r="C540" s="57"/>
      <c r="D540" s="57"/>
      <c r="E540" s="57"/>
      <c r="F540" s="57"/>
      <c r="G540" s="57"/>
      <c r="H540" s="58"/>
      <c r="I540" s="54"/>
      <c r="J540" s="59"/>
      <c r="K540" s="38"/>
      <c r="L540" s="38"/>
      <c r="M540" s="38"/>
      <c r="N540" s="38"/>
      <c r="O540" s="38"/>
      <c r="P540" s="38"/>
      <c r="Q540" s="38"/>
      <c r="R540" s="38"/>
      <c r="S540" s="38"/>
      <c r="T540" s="38"/>
      <c r="U540" s="38"/>
      <c r="V540" s="38"/>
      <c r="W540" s="38"/>
      <c r="X540" s="53"/>
      <c r="Y540" s="42"/>
      <c r="Z540" s="42"/>
      <c r="AA540" s="42"/>
    </row>
    <row r="541" ht="13.75" customHeight="1">
      <c r="A541" s="14" t="s">
        <v>140</v>
      </c>
      <c r="B541" s="56"/>
      <c r="C541" s="57"/>
      <c r="D541" s="57"/>
      <c r="E541" s="57"/>
      <c r="F541" s="57"/>
      <c r="G541" s="57"/>
      <c r="H541" s="58"/>
      <c r="I541" s="54"/>
      <c r="J541" s="59"/>
      <c r="K541" s="38"/>
      <c r="L541" s="38"/>
      <c r="M541" s="38"/>
      <c r="N541" s="38"/>
      <c r="O541" s="38"/>
      <c r="P541" s="38"/>
      <c r="Q541" s="38"/>
      <c r="R541" s="38"/>
      <c r="S541" s="38"/>
      <c r="T541" s="38"/>
      <c r="U541" s="38"/>
      <c r="V541" s="38"/>
      <c r="W541" s="38"/>
      <c r="X541" s="53"/>
      <c r="Y541" s="42"/>
      <c r="Z541" s="42"/>
      <c r="AA541" s="42"/>
    </row>
    <row r="542" ht="13.75" customHeight="1">
      <c r="A542" s="14" t="s">
        <v>140</v>
      </c>
      <c r="B542" s="56"/>
      <c r="C542" s="57"/>
      <c r="D542" s="57"/>
      <c r="E542" s="57"/>
      <c r="F542" s="57"/>
      <c r="G542" s="57"/>
      <c r="H542" s="58"/>
      <c r="I542" s="54"/>
      <c r="J542" s="59"/>
      <c r="K542" s="38"/>
      <c r="L542" s="38"/>
      <c r="M542" s="38"/>
      <c r="N542" s="38"/>
      <c r="O542" s="38"/>
      <c r="P542" s="38"/>
      <c r="Q542" s="38"/>
      <c r="R542" s="38"/>
      <c r="S542" s="38"/>
      <c r="T542" s="38"/>
      <c r="U542" s="38"/>
      <c r="V542" s="38"/>
      <c r="W542" s="38"/>
      <c r="X542" s="53"/>
      <c r="Y542" s="42"/>
      <c r="Z542" s="42"/>
      <c r="AA542" s="42"/>
    </row>
    <row r="543" ht="13.75" customHeight="1">
      <c r="A543" s="14" t="s">
        <v>140</v>
      </c>
      <c r="B543" s="56"/>
      <c r="C543" s="57"/>
      <c r="D543" s="57"/>
      <c r="E543" s="57"/>
      <c r="F543" s="57"/>
      <c r="G543" s="57"/>
      <c r="H543" s="58"/>
      <c r="I543" s="54"/>
      <c r="J543" s="59"/>
      <c r="K543" s="38"/>
      <c r="L543" s="38"/>
      <c r="M543" s="38"/>
      <c r="N543" s="38"/>
      <c r="O543" s="38"/>
      <c r="P543" s="38"/>
      <c r="Q543" s="38"/>
      <c r="R543" s="38"/>
      <c r="S543" s="38"/>
      <c r="T543" s="38"/>
      <c r="U543" s="38"/>
      <c r="V543" s="38"/>
      <c r="W543" s="38"/>
      <c r="X543" s="53"/>
      <c r="Y543" s="42"/>
      <c r="Z543" s="42"/>
      <c r="AA543" s="42"/>
    </row>
    <row r="544" ht="13.75" customHeight="1">
      <c r="A544" s="14" t="s">
        <v>140</v>
      </c>
      <c r="B544" s="56"/>
      <c r="C544" s="57"/>
      <c r="D544" s="57"/>
      <c r="E544" s="57"/>
      <c r="F544" s="57"/>
      <c r="G544" s="57"/>
      <c r="H544" s="58"/>
      <c r="I544" s="54"/>
      <c r="J544" s="59"/>
      <c r="K544" s="38"/>
      <c r="L544" s="38"/>
      <c r="M544" s="38"/>
      <c r="N544" s="38"/>
      <c r="O544" s="38"/>
      <c r="P544" s="38"/>
      <c r="Q544" s="38"/>
      <c r="R544" s="38"/>
      <c r="S544" s="38"/>
      <c r="T544" s="38"/>
      <c r="U544" s="38"/>
      <c r="V544" s="38"/>
      <c r="W544" s="38"/>
      <c r="X544" s="53"/>
      <c r="Y544" s="42"/>
      <c r="Z544" s="42"/>
      <c r="AA544" s="42"/>
    </row>
    <row r="545" ht="13.75" customHeight="1">
      <c r="A545" s="14" t="s">
        <v>140</v>
      </c>
      <c r="B545" s="56"/>
      <c r="C545" s="57"/>
      <c r="D545" s="57"/>
      <c r="E545" s="57"/>
      <c r="F545" s="57"/>
      <c r="G545" s="57"/>
      <c r="H545" s="58"/>
      <c r="I545" s="54"/>
      <c r="J545" s="59"/>
      <c r="K545" s="38"/>
      <c r="L545" s="38"/>
      <c r="M545" s="38"/>
      <c r="N545" s="38"/>
      <c r="O545" s="38"/>
      <c r="P545" s="38"/>
      <c r="Q545" s="38"/>
      <c r="R545" s="38"/>
      <c r="S545" s="38"/>
      <c r="T545" s="38"/>
      <c r="U545" s="38"/>
      <c r="V545" s="38"/>
      <c r="W545" s="38"/>
      <c r="X545" s="53"/>
      <c r="Y545" s="42"/>
      <c r="Z545" s="42"/>
      <c r="AA545" s="42"/>
    </row>
    <row r="546" ht="13.75" customHeight="1">
      <c r="A546" s="14" t="s">
        <v>140</v>
      </c>
      <c r="B546" s="56"/>
      <c r="C546" s="57"/>
      <c r="D546" s="57"/>
      <c r="E546" s="57"/>
      <c r="F546" s="57"/>
      <c r="G546" s="57"/>
      <c r="H546" s="58"/>
      <c r="I546" s="54"/>
      <c r="J546" s="59"/>
      <c r="K546" s="38"/>
      <c r="L546" s="38"/>
      <c r="M546" s="38"/>
      <c r="N546" s="38"/>
      <c r="O546" s="38"/>
      <c r="P546" s="38"/>
      <c r="Q546" s="38"/>
      <c r="R546" s="38"/>
      <c r="S546" s="38"/>
      <c r="T546" s="38"/>
      <c r="U546" s="38"/>
      <c r="V546" s="38"/>
      <c r="W546" s="38"/>
      <c r="X546" s="53"/>
      <c r="Y546" s="42"/>
      <c r="Z546" s="42"/>
      <c r="AA546" s="42"/>
    </row>
    <row r="547" ht="13.75" customHeight="1">
      <c r="A547" s="14" t="s">
        <v>140</v>
      </c>
      <c r="B547" s="56"/>
      <c r="C547" s="57"/>
      <c r="D547" s="57"/>
      <c r="E547" s="57"/>
      <c r="F547" s="57"/>
      <c r="G547" s="57"/>
      <c r="H547" s="58"/>
      <c r="I547" s="54"/>
      <c r="J547" s="59"/>
      <c r="K547" s="38"/>
      <c r="L547" s="38"/>
      <c r="M547" s="38"/>
      <c r="N547" s="38"/>
      <c r="O547" s="38"/>
      <c r="P547" s="38"/>
      <c r="Q547" s="38"/>
      <c r="R547" s="38"/>
      <c r="S547" s="38"/>
      <c r="T547" s="38"/>
      <c r="U547" s="38"/>
      <c r="V547" s="38"/>
      <c r="W547" s="38"/>
      <c r="X547" s="53"/>
      <c r="Y547" s="42"/>
      <c r="Z547" s="42"/>
      <c r="AA547" s="42"/>
    </row>
    <row r="548" ht="13.75" customHeight="1">
      <c r="A548" s="14" t="s">
        <v>140</v>
      </c>
      <c r="B548" s="56"/>
      <c r="C548" s="57"/>
      <c r="D548" s="57"/>
      <c r="E548" s="57"/>
      <c r="F548" s="57"/>
      <c r="G548" s="57"/>
      <c r="H548" s="58"/>
      <c r="I548" s="54"/>
      <c r="J548" s="59"/>
      <c r="K548" s="38"/>
      <c r="L548" s="38"/>
      <c r="M548" s="38"/>
      <c r="N548" s="38"/>
      <c r="O548" s="38"/>
      <c r="P548" s="38"/>
      <c r="Q548" s="38"/>
      <c r="R548" s="38"/>
      <c r="S548" s="38"/>
      <c r="T548" s="38"/>
      <c r="U548" s="38"/>
      <c r="V548" s="38"/>
      <c r="W548" s="38"/>
      <c r="X548" s="53"/>
      <c r="Y548" s="42"/>
      <c r="Z548" s="42"/>
      <c r="AA548" s="42"/>
    </row>
    <row r="549" ht="13.75" customHeight="1">
      <c r="A549" s="14" t="s">
        <v>140</v>
      </c>
      <c r="B549" s="56"/>
      <c r="C549" s="57"/>
      <c r="D549" s="57"/>
      <c r="E549" s="57"/>
      <c r="F549" s="57"/>
      <c r="G549" s="57"/>
      <c r="H549" s="58"/>
      <c r="I549" s="54"/>
      <c r="J549" s="59"/>
      <c r="K549" s="38"/>
      <c r="L549" s="38"/>
      <c r="M549" s="38"/>
      <c r="N549" s="38"/>
      <c r="O549" s="38"/>
      <c r="P549" s="38"/>
      <c r="Q549" s="38"/>
      <c r="R549" s="38"/>
      <c r="S549" s="38"/>
      <c r="T549" s="38"/>
      <c r="U549" s="38"/>
      <c r="V549" s="38"/>
      <c r="W549" s="38"/>
      <c r="X549" s="53"/>
      <c r="Y549" s="42"/>
      <c r="Z549" s="42"/>
      <c r="AA549" s="42"/>
    </row>
    <row r="550" ht="13.75" customHeight="1">
      <c r="A550" s="14" t="s">
        <v>140</v>
      </c>
      <c r="B550" s="56"/>
      <c r="C550" s="57"/>
      <c r="D550" s="57"/>
      <c r="E550" s="57"/>
      <c r="F550" s="57"/>
      <c r="G550" s="57"/>
      <c r="H550" s="58"/>
      <c r="I550" s="54"/>
      <c r="J550" s="59"/>
      <c r="K550" s="38"/>
      <c r="L550" s="38"/>
      <c r="M550" s="38"/>
      <c r="N550" s="38"/>
      <c r="O550" s="38"/>
      <c r="P550" s="38"/>
      <c r="Q550" s="38"/>
      <c r="R550" s="38"/>
      <c r="S550" s="38"/>
      <c r="T550" s="38"/>
      <c r="U550" s="38"/>
      <c r="V550" s="38"/>
      <c r="W550" s="38"/>
      <c r="X550" s="53"/>
      <c r="Y550" s="42"/>
      <c r="Z550" s="42"/>
      <c r="AA550" s="42"/>
    </row>
    <row r="551" ht="13.75" customHeight="1">
      <c r="A551" s="14" t="s">
        <v>140</v>
      </c>
      <c r="B551" s="56"/>
      <c r="C551" s="57"/>
      <c r="D551" s="57"/>
      <c r="E551" s="57"/>
      <c r="F551" s="57"/>
      <c r="G551" s="57"/>
      <c r="H551" s="58"/>
      <c r="I551" s="54"/>
      <c r="J551" s="59"/>
      <c r="K551" s="38"/>
      <c r="L551" s="38"/>
      <c r="M551" s="38"/>
      <c r="N551" s="38"/>
      <c r="O551" s="38"/>
      <c r="P551" s="38"/>
      <c r="Q551" s="38"/>
      <c r="R551" s="38"/>
      <c r="S551" s="38"/>
      <c r="T551" s="38"/>
      <c r="U551" s="38"/>
      <c r="V551" s="38"/>
      <c r="W551" s="38"/>
      <c r="X551" s="53"/>
      <c r="Y551" s="42"/>
      <c r="Z551" s="42"/>
      <c r="AA551" s="42"/>
    </row>
    <row r="552" ht="13.75" customHeight="1">
      <c r="A552" s="14" t="s">
        <v>140</v>
      </c>
      <c r="B552" s="56"/>
      <c r="C552" s="57"/>
      <c r="D552" s="57"/>
      <c r="E552" s="57"/>
      <c r="F552" s="57"/>
      <c r="G552" s="57"/>
      <c r="H552" s="58"/>
      <c r="I552" s="54"/>
      <c r="J552" s="59"/>
      <c r="K552" s="38"/>
      <c r="L552" s="38"/>
      <c r="M552" s="38"/>
      <c r="N552" s="38"/>
      <c r="O552" s="38"/>
      <c r="P552" s="38"/>
      <c r="Q552" s="38"/>
      <c r="R552" s="38"/>
      <c r="S552" s="38"/>
      <c r="T552" s="38"/>
      <c r="U552" s="38"/>
      <c r="V552" s="38"/>
      <c r="W552" s="38"/>
      <c r="X552" s="53"/>
      <c r="Y552" s="42"/>
      <c r="Z552" s="42"/>
      <c r="AA552" s="42"/>
    </row>
    <row r="553" ht="13.75" customHeight="1">
      <c r="A553" s="14" t="s">
        <v>140</v>
      </c>
      <c r="B553" s="56"/>
      <c r="C553" s="57"/>
      <c r="D553" s="57"/>
      <c r="E553" s="57"/>
      <c r="F553" s="57"/>
      <c r="G553" s="57"/>
      <c r="H553" s="58"/>
      <c r="I553" s="54"/>
      <c r="J553" s="59"/>
      <c r="K553" s="38"/>
      <c r="L553" s="38"/>
      <c r="M553" s="38"/>
      <c r="N553" s="38"/>
      <c r="O553" s="38"/>
      <c r="P553" s="38"/>
      <c r="Q553" s="38"/>
      <c r="R553" s="38"/>
      <c r="S553" s="38"/>
      <c r="T553" s="38"/>
      <c r="U553" s="38"/>
      <c r="V553" s="38"/>
      <c r="W553" s="38"/>
      <c r="X553" s="53"/>
      <c r="Y553" s="42"/>
      <c r="Z553" s="42"/>
      <c r="AA553" s="42"/>
    </row>
    <row r="554" ht="13.75" customHeight="1">
      <c r="A554" s="14" t="s">
        <v>140</v>
      </c>
      <c r="B554" s="56"/>
      <c r="C554" s="57"/>
      <c r="D554" s="57"/>
      <c r="E554" s="57"/>
      <c r="F554" s="57"/>
      <c r="G554" s="57"/>
      <c r="H554" s="58"/>
      <c r="I554" s="54"/>
      <c r="J554" s="59"/>
      <c r="K554" s="38"/>
      <c r="L554" s="38"/>
      <c r="M554" s="38"/>
      <c r="N554" s="38"/>
      <c r="O554" s="38"/>
      <c r="P554" s="38"/>
      <c r="Q554" s="38"/>
      <c r="R554" s="38"/>
      <c r="S554" s="38"/>
      <c r="T554" s="38"/>
      <c r="U554" s="38"/>
      <c r="V554" s="38"/>
      <c r="W554" s="38"/>
      <c r="X554" s="53"/>
      <c r="Y554" s="42"/>
      <c r="Z554" s="42"/>
      <c r="AA554" s="42"/>
    </row>
    <row r="555" ht="13.75" customHeight="1">
      <c r="A555" s="14" t="s">
        <v>140</v>
      </c>
      <c r="B555" s="56"/>
      <c r="C555" s="57"/>
      <c r="D555" s="57"/>
      <c r="E555" s="57"/>
      <c r="F555" s="57"/>
      <c r="G555" s="57"/>
      <c r="H555" s="58"/>
      <c r="I555" s="54"/>
      <c r="J555" s="59"/>
      <c r="K555" s="38"/>
      <c r="L555" s="38"/>
      <c r="M555" s="38"/>
      <c r="N555" s="38"/>
      <c r="O555" s="38"/>
      <c r="P555" s="38"/>
      <c r="Q555" s="38"/>
      <c r="R555" s="38"/>
      <c r="S555" s="38"/>
      <c r="T555" s="38"/>
      <c r="U555" s="38"/>
      <c r="V555" s="38"/>
      <c r="W555" s="38"/>
      <c r="X555" s="53"/>
      <c r="Y555" s="42"/>
      <c r="Z555" s="42"/>
      <c r="AA555" s="42"/>
    </row>
    <row r="556" ht="13.75" customHeight="1">
      <c r="A556" s="14" t="s">
        <v>140</v>
      </c>
      <c r="B556" s="56"/>
      <c r="C556" s="57"/>
      <c r="D556" s="57"/>
      <c r="E556" s="57"/>
      <c r="F556" s="57"/>
      <c r="G556" s="57"/>
      <c r="H556" s="58"/>
      <c r="I556" s="54"/>
      <c r="J556" s="59"/>
      <c r="K556" s="38"/>
      <c r="L556" s="38"/>
      <c r="M556" s="38"/>
      <c r="N556" s="38"/>
      <c r="O556" s="38"/>
      <c r="P556" s="38"/>
      <c r="Q556" s="38"/>
      <c r="R556" s="38"/>
      <c r="S556" s="38"/>
      <c r="T556" s="38"/>
      <c r="U556" s="38"/>
      <c r="V556" s="38"/>
      <c r="W556" s="38"/>
      <c r="X556" s="53"/>
      <c r="Y556" s="42"/>
      <c r="Z556" s="42"/>
      <c r="AA556" s="42"/>
    </row>
    <row r="557" ht="13.75" customHeight="1">
      <c r="A557" s="14" t="s">
        <v>140</v>
      </c>
      <c r="B557" s="56"/>
      <c r="C557" s="57"/>
      <c r="D557" s="57"/>
      <c r="E557" s="57"/>
      <c r="F557" s="57"/>
      <c r="G557" s="57"/>
      <c r="H557" s="58"/>
      <c r="I557" s="54"/>
      <c r="J557" s="59"/>
      <c r="K557" s="38"/>
      <c r="L557" s="38"/>
      <c r="M557" s="38"/>
      <c r="N557" s="38"/>
      <c r="O557" s="38"/>
      <c r="P557" s="38"/>
      <c r="Q557" s="38"/>
      <c r="R557" s="38"/>
      <c r="S557" s="38"/>
      <c r="T557" s="38"/>
      <c r="U557" s="38"/>
      <c r="V557" s="38"/>
      <c r="W557" s="38"/>
      <c r="X557" s="53"/>
      <c r="Y557" s="42"/>
      <c r="Z557" s="42"/>
      <c r="AA557" s="42"/>
    </row>
    <row r="558" ht="13.75" customHeight="1">
      <c r="A558" s="14" t="s">
        <v>140</v>
      </c>
      <c r="B558" s="56"/>
      <c r="C558" s="57"/>
      <c r="D558" s="57"/>
      <c r="E558" s="57"/>
      <c r="F558" s="57"/>
      <c r="G558" s="57"/>
      <c r="H558" s="58"/>
      <c r="I558" s="54"/>
      <c r="J558" s="59"/>
      <c r="K558" s="38"/>
      <c r="L558" s="38"/>
      <c r="M558" s="38"/>
      <c r="N558" s="38"/>
      <c r="O558" s="38"/>
      <c r="P558" s="38"/>
      <c r="Q558" s="38"/>
      <c r="R558" s="38"/>
      <c r="S558" s="38"/>
      <c r="T558" s="38"/>
      <c r="U558" s="38"/>
      <c r="V558" s="38"/>
      <c r="W558" s="38"/>
      <c r="X558" s="53"/>
      <c r="Y558" s="42"/>
      <c r="Z558" s="42"/>
      <c r="AA558" s="42"/>
    </row>
    <row r="559" ht="13.75" customHeight="1">
      <c r="A559" s="14" t="s">
        <v>140</v>
      </c>
      <c r="B559" s="56"/>
      <c r="C559" s="57"/>
      <c r="D559" s="57"/>
      <c r="E559" s="57"/>
      <c r="F559" s="57"/>
      <c r="G559" s="57"/>
      <c r="H559" s="58"/>
      <c r="I559" s="54"/>
      <c r="J559" s="59"/>
      <c r="K559" s="38"/>
      <c r="L559" s="38"/>
      <c r="M559" s="38"/>
      <c r="N559" s="38"/>
      <c r="O559" s="38"/>
      <c r="P559" s="38"/>
      <c r="Q559" s="38"/>
      <c r="R559" s="38"/>
      <c r="S559" s="38"/>
      <c r="T559" s="38"/>
      <c r="U559" s="38"/>
      <c r="V559" s="38"/>
      <c r="W559" s="38"/>
      <c r="X559" s="53"/>
      <c r="Y559" s="42"/>
      <c r="Z559" s="42"/>
      <c r="AA559" s="42"/>
    </row>
    <row r="560" ht="13.75" customHeight="1">
      <c r="A560" s="14" t="s">
        <v>140</v>
      </c>
      <c r="B560" s="56"/>
      <c r="C560" s="57"/>
      <c r="D560" s="57"/>
      <c r="E560" s="57"/>
      <c r="F560" s="57"/>
      <c r="G560" s="57"/>
      <c r="H560" s="58"/>
      <c r="I560" s="54"/>
      <c r="J560" s="59"/>
      <c r="K560" s="38"/>
      <c r="L560" s="38"/>
      <c r="M560" s="38"/>
      <c r="N560" s="38"/>
      <c r="O560" s="38"/>
      <c r="P560" s="38"/>
      <c r="Q560" s="38"/>
      <c r="R560" s="38"/>
      <c r="S560" s="38"/>
      <c r="T560" s="38"/>
      <c r="U560" s="38"/>
      <c r="V560" s="38"/>
      <c r="W560" s="38"/>
      <c r="X560" s="53"/>
      <c r="Y560" s="42"/>
      <c r="Z560" s="42"/>
      <c r="AA560" s="42"/>
    </row>
    <row r="561" ht="13.75" customHeight="1">
      <c r="A561" s="14" t="s">
        <v>140</v>
      </c>
      <c r="B561" s="56"/>
      <c r="C561" s="57"/>
      <c r="D561" s="57"/>
      <c r="E561" s="57"/>
      <c r="F561" s="57"/>
      <c r="G561" s="57"/>
      <c r="H561" s="58"/>
      <c r="I561" s="54"/>
      <c r="J561" s="59"/>
      <c r="K561" s="38"/>
      <c r="L561" s="38"/>
      <c r="M561" s="38"/>
      <c r="N561" s="38"/>
      <c r="O561" s="38"/>
      <c r="P561" s="38"/>
      <c r="Q561" s="38"/>
      <c r="R561" s="38"/>
      <c r="S561" s="38"/>
      <c r="T561" s="38"/>
      <c r="U561" s="38"/>
      <c r="V561" s="38"/>
      <c r="W561" s="38"/>
      <c r="X561" s="53"/>
      <c r="Y561" s="42"/>
      <c r="Z561" s="42"/>
      <c r="AA561" s="42"/>
    </row>
    <row r="562" ht="13.75" customHeight="1">
      <c r="A562" s="14" t="s">
        <v>140</v>
      </c>
      <c r="B562" s="56"/>
      <c r="C562" s="57"/>
      <c r="D562" s="57"/>
      <c r="E562" s="57"/>
      <c r="F562" s="57"/>
      <c r="G562" s="57"/>
      <c r="H562" s="58"/>
      <c r="I562" s="54"/>
      <c r="J562" s="59"/>
      <c r="K562" s="38"/>
      <c r="L562" s="38"/>
      <c r="M562" s="38"/>
      <c r="N562" s="38"/>
      <c r="O562" s="38"/>
      <c r="P562" s="38"/>
      <c r="Q562" s="38"/>
      <c r="R562" s="38"/>
      <c r="S562" s="38"/>
      <c r="T562" s="38"/>
      <c r="U562" s="38"/>
      <c r="V562" s="38"/>
      <c r="W562" s="38"/>
      <c r="X562" s="53"/>
      <c r="Y562" s="42"/>
      <c r="Z562" s="42"/>
      <c r="AA562" s="42"/>
    </row>
    <row r="563" ht="13.75" customHeight="1">
      <c r="A563" s="14" t="s">
        <v>140</v>
      </c>
      <c r="B563" s="56"/>
      <c r="C563" s="57"/>
      <c r="D563" s="57"/>
      <c r="E563" s="57"/>
      <c r="F563" s="57"/>
      <c r="G563" s="57"/>
      <c r="H563" s="58"/>
      <c r="I563" s="54"/>
      <c r="J563" s="59"/>
      <c r="K563" s="38"/>
      <c r="L563" s="38"/>
      <c r="M563" s="38"/>
      <c r="N563" s="38"/>
      <c r="O563" s="38"/>
      <c r="P563" s="38"/>
      <c r="Q563" s="38"/>
      <c r="R563" s="38"/>
      <c r="S563" s="38"/>
      <c r="T563" s="38"/>
      <c r="U563" s="38"/>
      <c r="V563" s="38"/>
      <c r="W563" s="38"/>
      <c r="X563" s="53"/>
      <c r="Y563" s="42"/>
      <c r="Z563" s="42"/>
      <c r="AA563" s="42"/>
    </row>
    <row r="564" ht="13.75" customHeight="1">
      <c r="A564" s="14" t="s">
        <v>140</v>
      </c>
      <c r="B564" s="56"/>
      <c r="C564" s="57"/>
      <c r="D564" s="57"/>
      <c r="E564" s="57"/>
      <c r="F564" s="57"/>
      <c r="G564" s="57"/>
      <c r="H564" s="58"/>
      <c r="I564" s="54"/>
      <c r="J564" s="59"/>
      <c r="K564" s="38"/>
      <c r="L564" s="38"/>
      <c r="M564" s="38"/>
      <c r="N564" s="38"/>
      <c r="O564" s="38"/>
      <c r="P564" s="38"/>
      <c r="Q564" s="38"/>
      <c r="R564" s="38"/>
      <c r="S564" s="38"/>
      <c r="T564" s="38"/>
      <c r="U564" s="38"/>
      <c r="V564" s="38"/>
      <c r="W564" s="38"/>
      <c r="X564" s="53"/>
      <c r="Y564" s="42"/>
      <c r="Z564" s="42"/>
      <c r="AA564" s="42"/>
    </row>
    <row r="565" ht="13.75" customHeight="1">
      <c r="A565" s="14" t="s">
        <v>140</v>
      </c>
      <c r="B565" s="56"/>
      <c r="C565" s="57"/>
      <c r="D565" s="57"/>
      <c r="E565" s="57"/>
      <c r="F565" s="57"/>
      <c r="G565" s="57"/>
      <c r="H565" s="58"/>
      <c r="I565" s="54"/>
      <c r="J565" s="59"/>
      <c r="K565" s="38"/>
      <c r="L565" s="38"/>
      <c r="M565" s="38"/>
      <c r="N565" s="38"/>
      <c r="O565" s="38"/>
      <c r="P565" s="38"/>
      <c r="Q565" s="38"/>
      <c r="R565" s="38"/>
      <c r="S565" s="38"/>
      <c r="T565" s="38"/>
      <c r="U565" s="38"/>
      <c r="V565" s="38"/>
      <c r="W565" s="38"/>
      <c r="X565" s="53"/>
      <c r="Y565" s="42"/>
      <c r="Z565" s="42"/>
      <c r="AA565" s="42"/>
    </row>
    <row r="566" ht="13.75" customHeight="1">
      <c r="A566" s="14" t="s">
        <v>140</v>
      </c>
      <c r="B566" s="56"/>
      <c r="C566" s="57"/>
      <c r="D566" s="57"/>
      <c r="E566" s="57"/>
      <c r="F566" s="57"/>
      <c r="G566" s="57"/>
      <c r="H566" s="58"/>
      <c r="I566" s="54"/>
      <c r="J566" s="59"/>
      <c r="K566" s="38"/>
      <c r="L566" s="38"/>
      <c r="M566" s="38"/>
      <c r="N566" s="38"/>
      <c r="O566" s="38"/>
      <c r="P566" s="38"/>
      <c r="Q566" s="38"/>
      <c r="R566" s="38"/>
      <c r="S566" s="38"/>
      <c r="T566" s="38"/>
      <c r="U566" s="38"/>
      <c r="V566" s="38"/>
      <c r="W566" s="38"/>
      <c r="X566" s="53"/>
      <c r="Y566" s="42"/>
      <c r="Z566" s="42"/>
      <c r="AA566" s="42"/>
    </row>
    <row r="567" ht="13.75" customHeight="1">
      <c r="A567" s="14" t="s">
        <v>140</v>
      </c>
      <c r="B567" s="56"/>
      <c r="C567" s="57"/>
      <c r="D567" s="57"/>
      <c r="E567" s="57"/>
      <c r="F567" s="57"/>
      <c r="G567" s="57"/>
      <c r="H567" s="58"/>
      <c r="I567" s="54"/>
      <c r="J567" s="59"/>
      <c r="K567" s="38"/>
      <c r="L567" s="38"/>
      <c r="M567" s="38"/>
      <c r="N567" s="38"/>
      <c r="O567" s="38"/>
      <c r="P567" s="38"/>
      <c r="Q567" s="38"/>
      <c r="R567" s="38"/>
      <c r="S567" s="38"/>
      <c r="T567" s="38"/>
      <c r="U567" s="38"/>
      <c r="V567" s="38"/>
      <c r="W567" s="38"/>
      <c r="X567" s="53"/>
      <c r="Y567" s="42"/>
      <c r="Z567" s="42"/>
      <c r="AA567" s="42"/>
    </row>
    <row r="568" ht="13.75" customHeight="1">
      <c r="A568" s="14" t="s">
        <v>140</v>
      </c>
      <c r="B568" s="56"/>
      <c r="C568" s="57"/>
      <c r="D568" s="57"/>
      <c r="E568" s="57"/>
      <c r="F568" s="57"/>
      <c r="G568" s="57"/>
      <c r="H568" s="58"/>
      <c r="I568" s="54"/>
      <c r="J568" s="59"/>
      <c r="K568" s="38"/>
      <c r="L568" s="38"/>
      <c r="M568" s="38"/>
      <c r="N568" s="38"/>
      <c r="O568" s="38"/>
      <c r="P568" s="38"/>
      <c r="Q568" s="38"/>
      <c r="R568" s="38"/>
      <c r="S568" s="38"/>
      <c r="T568" s="38"/>
      <c r="U568" s="38"/>
      <c r="V568" s="38"/>
      <c r="W568" s="38"/>
      <c r="X568" s="53"/>
      <c r="Y568" s="42"/>
      <c r="Z568" s="42"/>
      <c r="AA568" s="42"/>
    </row>
    <row r="569" ht="13.75" customHeight="1">
      <c r="A569" s="14" t="s">
        <v>140</v>
      </c>
      <c r="B569" s="56"/>
      <c r="C569" s="57"/>
      <c r="D569" s="57"/>
      <c r="E569" s="57"/>
      <c r="F569" s="57"/>
      <c r="G569" s="57"/>
      <c r="H569" s="58"/>
      <c r="I569" s="54"/>
      <c r="J569" s="59"/>
      <c r="K569" s="38"/>
      <c r="L569" s="38"/>
      <c r="M569" s="38"/>
      <c r="N569" s="38"/>
      <c r="O569" s="38"/>
      <c r="P569" s="38"/>
      <c r="Q569" s="38"/>
      <c r="R569" s="38"/>
      <c r="S569" s="38"/>
      <c r="T569" s="38"/>
      <c r="U569" s="38"/>
      <c r="V569" s="38"/>
      <c r="W569" s="38"/>
      <c r="X569" s="53"/>
      <c r="Y569" s="42"/>
      <c r="Z569" s="42"/>
      <c r="AA569" s="42"/>
    </row>
    <row r="570" ht="13.75" customHeight="1">
      <c r="A570" s="14" t="s">
        <v>140</v>
      </c>
      <c r="B570" s="56"/>
      <c r="C570" s="57"/>
      <c r="D570" s="57"/>
      <c r="E570" s="57"/>
      <c r="F570" s="57"/>
      <c r="G570" s="57"/>
      <c r="H570" s="58"/>
      <c r="I570" s="54"/>
      <c r="J570" s="59"/>
      <c r="K570" s="38"/>
      <c r="L570" s="38"/>
      <c r="M570" s="38"/>
      <c r="N570" s="38"/>
      <c r="O570" s="38"/>
      <c r="P570" s="38"/>
      <c r="Q570" s="38"/>
      <c r="R570" s="38"/>
      <c r="S570" s="38"/>
      <c r="T570" s="38"/>
      <c r="U570" s="38"/>
      <c r="V570" s="38"/>
      <c r="W570" s="38"/>
      <c r="X570" s="53"/>
      <c r="Y570" s="42"/>
      <c r="Z570" s="42"/>
      <c r="AA570" s="42"/>
    </row>
    <row r="571" ht="13.75" customHeight="1">
      <c r="A571" s="14" t="s">
        <v>140</v>
      </c>
      <c r="B571" s="56"/>
      <c r="C571" s="57"/>
      <c r="D571" s="57"/>
      <c r="E571" s="57"/>
      <c r="F571" s="57"/>
      <c r="G571" s="57"/>
      <c r="H571" s="58"/>
      <c r="I571" s="54"/>
      <c r="J571" s="59"/>
      <c r="K571" s="38"/>
      <c r="L571" s="38"/>
      <c r="M571" s="38"/>
      <c r="N571" s="38"/>
      <c r="O571" s="38"/>
      <c r="P571" s="38"/>
      <c r="Q571" s="38"/>
      <c r="R571" s="38"/>
      <c r="S571" s="38"/>
      <c r="T571" s="38"/>
      <c r="U571" s="38"/>
      <c r="V571" s="38"/>
      <c r="W571" s="38"/>
      <c r="X571" s="53"/>
      <c r="Y571" s="42"/>
      <c r="Z571" s="42"/>
      <c r="AA571" s="42"/>
    </row>
    <row r="572" ht="13.75" customHeight="1">
      <c r="A572" s="14" t="s">
        <v>140</v>
      </c>
      <c r="B572" s="56"/>
      <c r="C572" s="57"/>
      <c r="D572" s="57"/>
      <c r="E572" s="57"/>
      <c r="F572" s="57"/>
      <c r="G572" s="57"/>
      <c r="H572" s="58"/>
      <c r="I572" s="54"/>
      <c r="J572" s="59"/>
      <c r="K572" s="38"/>
      <c r="L572" s="38"/>
      <c r="M572" s="38"/>
      <c r="N572" s="38"/>
      <c r="O572" s="38"/>
      <c r="P572" s="38"/>
      <c r="Q572" s="38"/>
      <c r="R572" s="38"/>
      <c r="S572" s="38"/>
      <c r="T572" s="38"/>
      <c r="U572" s="38"/>
      <c r="V572" s="38"/>
      <c r="W572" s="38"/>
      <c r="X572" s="53"/>
      <c r="Y572" s="42"/>
      <c r="Z572" s="42"/>
      <c r="AA572" s="42"/>
    </row>
    <row r="573" ht="13.75" customHeight="1">
      <c r="A573" s="14" t="s">
        <v>140</v>
      </c>
      <c r="B573" s="56"/>
      <c r="C573" s="57"/>
      <c r="D573" s="57"/>
      <c r="E573" s="57"/>
      <c r="F573" s="57"/>
      <c r="G573" s="57"/>
      <c r="H573" s="58"/>
      <c r="I573" s="54"/>
      <c r="J573" s="59"/>
      <c r="K573" s="38"/>
      <c r="L573" s="38"/>
      <c r="M573" s="38"/>
      <c r="N573" s="38"/>
      <c r="O573" s="38"/>
      <c r="P573" s="38"/>
      <c r="Q573" s="38"/>
      <c r="R573" s="38"/>
      <c r="S573" s="38"/>
      <c r="T573" s="38"/>
      <c r="U573" s="38"/>
      <c r="V573" s="38"/>
      <c r="W573" s="38"/>
      <c r="X573" s="53"/>
      <c r="Y573" s="42"/>
      <c r="Z573" s="42"/>
      <c r="AA573" s="42"/>
    </row>
    <row r="574" ht="13.75" customHeight="1">
      <c r="A574" s="14" t="s">
        <v>140</v>
      </c>
      <c r="B574" s="56"/>
      <c r="C574" s="57"/>
      <c r="D574" s="57"/>
      <c r="E574" s="57"/>
      <c r="F574" s="57"/>
      <c r="G574" s="57"/>
      <c r="H574" s="58"/>
      <c r="I574" s="54"/>
      <c r="J574" s="59"/>
      <c r="K574" s="38"/>
      <c r="L574" s="38"/>
      <c r="M574" s="38"/>
      <c r="N574" s="38"/>
      <c r="O574" s="38"/>
      <c r="P574" s="38"/>
      <c r="Q574" s="38"/>
      <c r="R574" s="38"/>
      <c r="S574" s="38"/>
      <c r="T574" s="38"/>
      <c r="U574" s="38"/>
      <c r="V574" s="38"/>
      <c r="W574" s="38"/>
      <c r="X574" s="53"/>
      <c r="Y574" s="42"/>
      <c r="Z574" s="42"/>
      <c r="AA574" s="42"/>
    </row>
    <row r="575" ht="13.75" customHeight="1">
      <c r="A575" s="14" t="s">
        <v>140</v>
      </c>
      <c r="B575" s="56"/>
      <c r="C575" s="57"/>
      <c r="D575" s="57"/>
      <c r="E575" s="57"/>
      <c r="F575" s="57"/>
      <c r="G575" s="57"/>
      <c r="H575" s="58"/>
      <c r="I575" s="54"/>
      <c r="J575" s="59"/>
      <c r="K575" s="38"/>
      <c r="L575" s="38"/>
      <c r="M575" s="38"/>
      <c r="N575" s="38"/>
      <c r="O575" s="38"/>
      <c r="P575" s="38"/>
      <c r="Q575" s="38"/>
      <c r="R575" s="38"/>
      <c r="S575" s="38"/>
      <c r="T575" s="38"/>
      <c r="U575" s="38"/>
      <c r="V575" s="38"/>
      <c r="W575" s="38"/>
      <c r="X575" s="53"/>
      <c r="Y575" s="42"/>
      <c r="Z575" s="42"/>
      <c r="AA575" s="42"/>
    </row>
    <row r="576" ht="13.75" customHeight="1">
      <c r="A576" s="14" t="s">
        <v>140</v>
      </c>
      <c r="B576" s="56"/>
      <c r="C576" s="57"/>
      <c r="D576" s="57"/>
      <c r="E576" s="57"/>
      <c r="F576" s="57"/>
      <c r="G576" s="57"/>
      <c r="H576" s="58"/>
      <c r="I576" s="54"/>
      <c r="J576" s="59"/>
      <c r="K576" s="38"/>
      <c r="L576" s="38"/>
      <c r="M576" s="38"/>
      <c r="N576" s="38"/>
      <c r="O576" s="38"/>
      <c r="P576" s="38"/>
      <c r="Q576" s="38"/>
      <c r="R576" s="38"/>
      <c r="S576" s="38"/>
      <c r="T576" s="38"/>
      <c r="U576" s="38"/>
      <c r="V576" s="38"/>
      <c r="W576" s="38"/>
      <c r="X576" s="53"/>
      <c r="Y576" s="42"/>
      <c r="Z576" s="42"/>
      <c r="AA576" s="42"/>
    </row>
    <row r="577" ht="13.75" customHeight="1">
      <c r="A577" s="14" t="s">
        <v>140</v>
      </c>
      <c r="B577" s="56"/>
      <c r="C577" s="57"/>
      <c r="D577" s="57"/>
      <c r="E577" s="57"/>
      <c r="F577" s="57"/>
      <c r="G577" s="57"/>
      <c r="H577" s="58"/>
      <c r="I577" s="54"/>
      <c r="J577" s="59"/>
      <c r="K577" s="38"/>
      <c r="L577" s="38"/>
      <c r="M577" s="38"/>
      <c r="N577" s="38"/>
      <c r="O577" s="38"/>
      <c r="P577" s="38"/>
      <c r="Q577" s="38"/>
      <c r="R577" s="38"/>
      <c r="S577" s="38"/>
      <c r="T577" s="38"/>
      <c r="U577" s="38"/>
      <c r="V577" s="38"/>
      <c r="W577" s="38"/>
      <c r="X577" s="53"/>
      <c r="Y577" s="42"/>
      <c r="Z577" s="42"/>
      <c r="AA577" s="42"/>
    </row>
    <row r="578" ht="13.75" customHeight="1">
      <c r="A578" s="14" t="s">
        <v>140</v>
      </c>
      <c r="B578" s="56"/>
      <c r="C578" s="57"/>
      <c r="D578" s="57"/>
      <c r="E578" s="57"/>
      <c r="F578" s="57"/>
      <c r="G578" s="57"/>
      <c r="H578" s="58"/>
      <c r="I578" s="54"/>
      <c r="J578" s="59"/>
      <c r="K578" s="38"/>
      <c r="L578" s="38"/>
      <c r="M578" s="38"/>
      <c r="N578" s="38"/>
      <c r="O578" s="38"/>
      <c r="P578" s="38"/>
      <c r="Q578" s="38"/>
      <c r="R578" s="38"/>
      <c r="S578" s="38"/>
      <c r="T578" s="38"/>
      <c r="U578" s="38"/>
      <c r="V578" s="38"/>
      <c r="W578" s="38"/>
      <c r="X578" s="53"/>
      <c r="Y578" s="42"/>
      <c r="Z578" s="42"/>
      <c r="AA578" s="42"/>
    </row>
    <row r="579" ht="13.75" customHeight="1">
      <c r="A579" s="14" t="s">
        <v>140</v>
      </c>
      <c r="B579" s="56"/>
      <c r="C579" s="57"/>
      <c r="D579" s="57"/>
      <c r="E579" s="57"/>
      <c r="F579" s="57"/>
      <c r="G579" s="57"/>
      <c r="H579" s="58"/>
      <c r="I579" s="54"/>
      <c r="J579" s="59"/>
      <c r="K579" s="38"/>
      <c r="L579" s="38"/>
      <c r="M579" s="38"/>
      <c r="N579" s="38"/>
      <c r="O579" s="38"/>
      <c r="P579" s="38"/>
      <c r="Q579" s="38"/>
      <c r="R579" s="38"/>
      <c r="S579" s="38"/>
      <c r="T579" s="38"/>
      <c r="U579" s="38"/>
      <c r="V579" s="38"/>
      <c r="W579" s="38"/>
      <c r="X579" s="53"/>
      <c r="Y579" s="42"/>
      <c r="Z579" s="42"/>
      <c r="AA579" s="42"/>
    </row>
    <row r="580" ht="13.75" customHeight="1">
      <c r="A580" s="14" t="s">
        <v>140</v>
      </c>
      <c r="B580" s="56"/>
      <c r="C580" s="57"/>
      <c r="D580" s="57"/>
      <c r="E580" s="57"/>
      <c r="F580" s="57"/>
      <c r="G580" s="57"/>
      <c r="H580" s="58"/>
      <c r="I580" s="54"/>
      <c r="J580" s="59"/>
      <c r="K580" s="38"/>
      <c r="L580" s="38"/>
      <c r="M580" s="38"/>
      <c r="N580" s="38"/>
      <c r="O580" s="38"/>
      <c r="P580" s="38"/>
      <c r="Q580" s="38"/>
      <c r="R580" s="38"/>
      <c r="S580" s="38"/>
      <c r="T580" s="38"/>
      <c r="U580" s="38"/>
      <c r="V580" s="38"/>
      <c r="W580" s="38"/>
      <c r="X580" s="53"/>
      <c r="Y580" s="42"/>
      <c r="Z580" s="42"/>
      <c r="AA580" s="42"/>
    </row>
    <row r="581" ht="13.75" customHeight="1">
      <c r="A581" s="14" t="s">
        <v>140</v>
      </c>
      <c r="B581" s="56"/>
      <c r="C581" s="57"/>
      <c r="D581" s="57"/>
      <c r="E581" s="57"/>
      <c r="F581" s="57"/>
      <c r="G581" s="57"/>
      <c r="H581" s="58"/>
      <c r="I581" s="54"/>
      <c r="J581" s="59"/>
      <c r="K581" s="38"/>
      <c r="L581" s="38"/>
      <c r="M581" s="38"/>
      <c r="N581" s="38"/>
      <c r="O581" s="38"/>
      <c r="P581" s="38"/>
      <c r="Q581" s="38"/>
      <c r="R581" s="38"/>
      <c r="S581" s="38"/>
      <c r="T581" s="38"/>
      <c r="U581" s="38"/>
      <c r="V581" s="38"/>
      <c r="W581" s="38"/>
      <c r="X581" s="53"/>
      <c r="Y581" s="42"/>
      <c r="Z581" s="42"/>
      <c r="AA581" s="42"/>
    </row>
    <row r="582" ht="13.75" customHeight="1">
      <c r="A582" s="14" t="s">
        <v>140</v>
      </c>
      <c r="B582" s="56"/>
      <c r="C582" s="57"/>
      <c r="D582" s="57"/>
      <c r="E582" s="57"/>
      <c r="F582" s="57"/>
      <c r="G582" s="57"/>
      <c r="H582" s="58"/>
      <c r="I582" s="54"/>
      <c r="J582" s="59"/>
      <c r="K582" s="38"/>
      <c r="L582" s="38"/>
      <c r="M582" s="38"/>
      <c r="N582" s="38"/>
      <c r="O582" s="38"/>
      <c r="P582" s="38"/>
      <c r="Q582" s="38"/>
      <c r="R582" s="38"/>
      <c r="S582" s="38"/>
      <c r="T582" s="38"/>
      <c r="U582" s="38"/>
      <c r="V582" s="38"/>
      <c r="W582" s="38"/>
      <c r="X582" s="53"/>
      <c r="Y582" s="42"/>
      <c r="Z582" s="42"/>
      <c r="AA582" s="42"/>
    </row>
    <row r="583" ht="13.75" customHeight="1">
      <c r="A583" s="14" t="s">
        <v>140</v>
      </c>
      <c r="B583" s="56"/>
      <c r="C583" s="57"/>
      <c r="D583" s="57"/>
      <c r="E583" s="57"/>
      <c r="F583" s="57"/>
      <c r="G583" s="57"/>
      <c r="H583" s="58"/>
      <c r="I583" s="54"/>
      <c r="J583" s="59"/>
      <c r="K583" s="38"/>
      <c r="L583" s="38"/>
      <c r="M583" s="38"/>
      <c r="N583" s="38"/>
      <c r="O583" s="38"/>
      <c r="P583" s="38"/>
      <c r="Q583" s="38"/>
      <c r="R583" s="38"/>
      <c r="S583" s="38"/>
      <c r="T583" s="38"/>
      <c r="U583" s="38"/>
      <c r="V583" s="38"/>
      <c r="W583" s="38"/>
      <c r="X583" s="53"/>
      <c r="Y583" s="42"/>
      <c r="Z583" s="42"/>
      <c r="AA583" s="42"/>
    </row>
    <row r="584" ht="13.75" customHeight="1">
      <c r="A584" s="14" t="s">
        <v>140</v>
      </c>
      <c r="B584" s="56"/>
      <c r="C584" s="57"/>
      <c r="D584" s="57"/>
      <c r="E584" s="57"/>
      <c r="F584" s="57"/>
      <c r="G584" s="57"/>
      <c r="H584" s="58"/>
      <c r="I584" s="54"/>
      <c r="J584" s="59"/>
      <c r="K584" s="38"/>
      <c r="L584" s="38"/>
      <c r="M584" s="38"/>
      <c r="N584" s="38"/>
      <c r="O584" s="38"/>
      <c r="P584" s="38"/>
      <c r="Q584" s="38"/>
      <c r="R584" s="38"/>
      <c r="S584" s="38"/>
      <c r="T584" s="38"/>
      <c r="U584" s="38"/>
      <c r="V584" s="38"/>
      <c r="W584" s="38"/>
      <c r="X584" s="53"/>
      <c r="Y584" s="42"/>
      <c r="Z584" s="42"/>
      <c r="AA584" s="42"/>
    </row>
    <row r="585" ht="13.75" customHeight="1">
      <c r="A585" s="14" t="s">
        <v>140</v>
      </c>
      <c r="B585" s="56"/>
      <c r="C585" s="57"/>
      <c r="D585" s="57"/>
      <c r="E585" s="57"/>
      <c r="F585" s="57"/>
      <c r="G585" s="57"/>
      <c r="H585" s="58"/>
      <c r="I585" s="54"/>
      <c r="J585" s="59"/>
      <c r="K585" s="38"/>
      <c r="L585" s="38"/>
      <c r="M585" s="38"/>
      <c r="N585" s="38"/>
      <c r="O585" s="38"/>
      <c r="P585" s="38"/>
      <c r="Q585" s="38"/>
      <c r="R585" s="38"/>
      <c r="S585" s="38"/>
      <c r="T585" s="38"/>
      <c r="U585" s="38"/>
      <c r="V585" s="38"/>
      <c r="W585" s="38"/>
      <c r="X585" s="53"/>
      <c r="Y585" s="42"/>
      <c r="Z585" s="42"/>
      <c r="AA585" s="42"/>
    </row>
    <row r="586" ht="13.75" customHeight="1">
      <c r="A586" s="14" t="s">
        <v>140</v>
      </c>
      <c r="B586" s="56"/>
      <c r="C586" s="57"/>
      <c r="D586" s="57"/>
      <c r="E586" s="57"/>
      <c r="F586" s="57"/>
      <c r="G586" s="57"/>
      <c r="H586" s="58"/>
      <c r="I586" s="54"/>
      <c r="J586" s="59"/>
      <c r="K586" s="38"/>
      <c r="L586" s="38"/>
      <c r="M586" s="38"/>
      <c r="N586" s="38"/>
      <c r="O586" s="38"/>
      <c r="P586" s="38"/>
      <c r="Q586" s="38"/>
      <c r="R586" s="38"/>
      <c r="S586" s="38"/>
      <c r="T586" s="38"/>
      <c r="U586" s="38"/>
      <c r="V586" s="38"/>
      <c r="W586" s="38"/>
      <c r="X586" s="53"/>
      <c r="Y586" s="42"/>
      <c r="Z586" s="42"/>
      <c r="AA586" s="42"/>
    </row>
    <row r="587" ht="13.75" customHeight="1">
      <c r="A587" s="14" t="s">
        <v>140</v>
      </c>
      <c r="B587" s="56"/>
      <c r="C587" s="57"/>
      <c r="D587" s="57"/>
      <c r="E587" s="57"/>
      <c r="F587" s="57"/>
      <c r="G587" s="57"/>
      <c r="H587" s="58"/>
      <c r="I587" s="54"/>
      <c r="J587" s="59"/>
      <c r="K587" s="38"/>
      <c r="L587" s="38"/>
      <c r="M587" s="38"/>
      <c r="N587" s="38"/>
      <c r="O587" s="38"/>
      <c r="P587" s="38"/>
      <c r="Q587" s="38"/>
      <c r="R587" s="38"/>
      <c r="S587" s="38"/>
      <c r="T587" s="38"/>
      <c r="U587" s="38"/>
      <c r="V587" s="38"/>
      <c r="W587" s="38"/>
      <c r="X587" s="53"/>
      <c r="Y587" s="42"/>
      <c r="Z587" s="42"/>
      <c r="AA587" s="42"/>
    </row>
    <row r="588" ht="13.75" customHeight="1">
      <c r="A588" s="14" t="s">
        <v>140</v>
      </c>
      <c r="B588" s="56"/>
      <c r="C588" s="57"/>
      <c r="D588" s="57"/>
      <c r="E588" s="57"/>
      <c r="F588" s="57"/>
      <c r="G588" s="57"/>
      <c r="H588" s="58"/>
      <c r="I588" s="54"/>
      <c r="J588" s="59"/>
      <c r="K588" s="38"/>
      <c r="L588" s="38"/>
      <c r="M588" s="38"/>
      <c r="N588" s="38"/>
      <c r="O588" s="38"/>
      <c r="P588" s="38"/>
      <c r="Q588" s="38"/>
      <c r="R588" s="38"/>
      <c r="S588" s="38"/>
      <c r="T588" s="38"/>
      <c r="U588" s="38"/>
      <c r="V588" s="38"/>
      <c r="W588" s="38"/>
      <c r="X588" s="53"/>
      <c r="Y588" s="42"/>
      <c r="Z588" s="42"/>
      <c r="AA588" s="42"/>
    </row>
    <row r="589" ht="13.75" customHeight="1">
      <c r="A589" s="14" t="s">
        <v>140</v>
      </c>
      <c r="B589" s="56"/>
      <c r="C589" s="57"/>
      <c r="D589" s="57"/>
      <c r="E589" s="57"/>
      <c r="F589" s="57"/>
      <c r="G589" s="57"/>
      <c r="H589" s="58"/>
      <c r="I589" s="54"/>
      <c r="J589" s="59"/>
      <c r="K589" s="38"/>
      <c r="L589" s="38"/>
      <c r="M589" s="38"/>
      <c r="N589" s="38"/>
      <c r="O589" s="38"/>
      <c r="P589" s="38"/>
      <c r="Q589" s="38"/>
      <c r="R589" s="38"/>
      <c r="S589" s="38"/>
      <c r="T589" s="38"/>
      <c r="U589" s="38"/>
      <c r="V589" s="38"/>
      <c r="W589" s="38"/>
      <c r="X589" s="53"/>
      <c r="Y589" s="42"/>
      <c r="Z589" s="42"/>
      <c r="AA589" s="42"/>
    </row>
    <row r="590" ht="13.75" customHeight="1">
      <c r="A590" s="14" t="s">
        <v>140</v>
      </c>
      <c r="B590" s="56"/>
      <c r="C590" s="57"/>
      <c r="D590" s="57"/>
      <c r="E590" s="57"/>
      <c r="F590" s="57"/>
      <c r="G590" s="57"/>
      <c r="H590" s="58"/>
      <c r="I590" s="54"/>
      <c r="J590" s="59"/>
      <c r="K590" s="38"/>
      <c r="L590" s="38"/>
      <c r="M590" s="38"/>
      <c r="N590" s="38"/>
      <c r="O590" s="38"/>
      <c r="P590" s="38"/>
      <c r="Q590" s="38"/>
      <c r="R590" s="38"/>
      <c r="S590" s="38"/>
      <c r="T590" s="38"/>
      <c r="U590" s="38"/>
      <c r="V590" s="38"/>
      <c r="W590" s="38"/>
      <c r="X590" s="53"/>
      <c r="Y590" s="42"/>
      <c r="Z590" s="42"/>
      <c r="AA590" s="42"/>
    </row>
    <row r="591" ht="13.75" customHeight="1">
      <c r="A591" s="14" t="s">
        <v>140</v>
      </c>
      <c r="B591" s="56"/>
      <c r="C591" s="57"/>
      <c r="D591" s="57"/>
      <c r="E591" s="57"/>
      <c r="F591" s="57"/>
      <c r="G591" s="57"/>
      <c r="H591" s="58"/>
      <c r="I591" s="54"/>
      <c r="J591" s="59"/>
      <c r="K591" s="38"/>
      <c r="L591" s="38"/>
      <c r="M591" s="38"/>
      <c r="N591" s="38"/>
      <c r="O591" s="38"/>
      <c r="P591" s="38"/>
      <c r="Q591" s="38"/>
      <c r="R591" s="38"/>
      <c r="S591" s="38"/>
      <c r="T591" s="38"/>
      <c r="U591" s="38"/>
      <c r="V591" s="38"/>
      <c r="W591" s="38"/>
      <c r="X591" s="53"/>
      <c r="Y591" s="42"/>
      <c r="Z591" s="42"/>
      <c r="AA591" s="42"/>
    </row>
    <row r="592" ht="13.75" customHeight="1">
      <c r="A592" s="14" t="s">
        <v>140</v>
      </c>
      <c r="B592" s="56"/>
      <c r="C592" s="57"/>
      <c r="D592" s="57"/>
      <c r="E592" s="57"/>
      <c r="F592" s="57"/>
      <c r="G592" s="57"/>
      <c r="H592" s="58"/>
      <c r="I592" s="54"/>
      <c r="J592" s="59"/>
      <c r="K592" s="38"/>
      <c r="L592" s="38"/>
      <c r="M592" s="38"/>
      <c r="N592" s="38"/>
      <c r="O592" s="38"/>
      <c r="P592" s="38"/>
      <c r="Q592" s="38"/>
      <c r="R592" s="38"/>
      <c r="S592" s="38"/>
      <c r="T592" s="38"/>
      <c r="U592" s="38"/>
      <c r="V592" s="38"/>
      <c r="W592" s="38"/>
      <c r="X592" s="53"/>
      <c r="Y592" s="42"/>
      <c r="Z592" s="42"/>
      <c r="AA592" s="42"/>
    </row>
    <row r="593" ht="13.75" customHeight="1">
      <c r="A593" s="14" t="s">
        <v>140</v>
      </c>
      <c r="B593" s="56"/>
      <c r="C593" s="57"/>
      <c r="D593" s="57"/>
      <c r="E593" s="57"/>
      <c r="F593" s="57"/>
      <c r="G593" s="57"/>
      <c r="H593" s="58"/>
      <c r="I593" s="54"/>
      <c r="J593" s="59"/>
      <c r="K593" s="38"/>
      <c r="L593" s="38"/>
      <c r="M593" s="38"/>
      <c r="N593" s="38"/>
      <c r="O593" s="38"/>
      <c r="P593" s="38"/>
      <c r="Q593" s="38"/>
      <c r="R593" s="38"/>
      <c r="S593" s="38"/>
      <c r="T593" s="38"/>
      <c r="U593" s="38"/>
      <c r="V593" s="38"/>
      <c r="W593" s="38"/>
      <c r="X593" s="53"/>
      <c r="Y593" s="42"/>
      <c r="Z593" s="42"/>
      <c r="AA593" s="42"/>
    </row>
    <row r="594" ht="13.75" customHeight="1">
      <c r="A594" s="14" t="s">
        <v>140</v>
      </c>
      <c r="B594" s="56"/>
      <c r="C594" s="57"/>
      <c r="D594" s="57"/>
      <c r="E594" s="57"/>
      <c r="F594" s="57"/>
      <c r="G594" s="57"/>
      <c r="H594" s="58"/>
      <c r="I594" s="54"/>
      <c r="J594" s="59"/>
      <c r="K594" s="38"/>
      <c r="L594" s="38"/>
      <c r="M594" s="38"/>
      <c r="N594" s="38"/>
      <c r="O594" s="38"/>
      <c r="P594" s="38"/>
      <c r="Q594" s="38"/>
      <c r="R594" s="38"/>
      <c r="S594" s="38"/>
      <c r="T594" s="38"/>
      <c r="U594" s="38"/>
      <c r="V594" s="38"/>
      <c r="W594" s="38"/>
      <c r="X594" s="53"/>
      <c r="Y594" s="42"/>
      <c r="Z594" s="42"/>
      <c r="AA594" s="42"/>
    </row>
    <row r="595" ht="13.75" customHeight="1">
      <c r="A595" s="14" t="s">
        <v>140</v>
      </c>
      <c r="B595" s="56"/>
      <c r="C595" s="57"/>
      <c r="D595" s="57"/>
      <c r="E595" s="57"/>
      <c r="F595" s="57"/>
      <c r="G595" s="57"/>
      <c r="H595" s="58"/>
      <c r="I595" s="54"/>
      <c r="J595" s="59"/>
      <c r="K595" s="38"/>
      <c r="L595" s="38"/>
      <c r="M595" s="38"/>
      <c r="N595" s="38"/>
      <c r="O595" s="38"/>
      <c r="P595" s="38"/>
      <c r="Q595" s="38"/>
      <c r="R595" s="38"/>
      <c r="S595" s="38"/>
      <c r="T595" s="38"/>
      <c r="U595" s="38"/>
      <c r="V595" s="38"/>
      <c r="W595" s="38"/>
      <c r="X595" s="53"/>
      <c r="Y595" s="42"/>
      <c r="Z595" s="42"/>
      <c r="AA595" s="42"/>
    </row>
    <row r="596" ht="13.75" customHeight="1">
      <c r="A596" s="14" t="s">
        <v>140</v>
      </c>
      <c r="B596" s="56"/>
      <c r="C596" s="57"/>
      <c r="D596" s="57"/>
      <c r="E596" s="57"/>
      <c r="F596" s="57"/>
      <c r="G596" s="57"/>
      <c r="H596" s="58"/>
      <c r="I596" s="54"/>
      <c r="J596" s="59"/>
      <c r="K596" s="38"/>
      <c r="L596" s="38"/>
      <c r="M596" s="38"/>
      <c r="N596" s="38"/>
      <c r="O596" s="38"/>
      <c r="P596" s="38"/>
      <c r="Q596" s="38"/>
      <c r="R596" s="38"/>
      <c r="S596" s="38"/>
      <c r="T596" s="38"/>
      <c r="U596" s="38"/>
      <c r="V596" s="38"/>
      <c r="W596" s="38"/>
      <c r="X596" s="53"/>
      <c r="Y596" s="42"/>
      <c r="Z596" s="42"/>
      <c r="AA596" s="42"/>
    </row>
    <row r="597" ht="13.75" customHeight="1">
      <c r="A597" s="14" t="s">
        <v>140</v>
      </c>
      <c r="B597" s="56"/>
      <c r="C597" s="57"/>
      <c r="D597" s="57"/>
      <c r="E597" s="57"/>
      <c r="F597" s="57"/>
      <c r="G597" s="57"/>
      <c r="H597" s="58"/>
      <c r="I597" s="54"/>
      <c r="J597" s="59"/>
      <c r="K597" s="38"/>
      <c r="L597" s="38"/>
      <c r="M597" s="38"/>
      <c r="N597" s="38"/>
      <c r="O597" s="38"/>
      <c r="P597" s="38"/>
      <c r="Q597" s="38"/>
      <c r="R597" s="38"/>
      <c r="S597" s="38"/>
      <c r="T597" s="38"/>
      <c r="U597" s="38"/>
      <c r="V597" s="38"/>
      <c r="W597" s="38"/>
      <c r="X597" s="53"/>
      <c r="Y597" s="42"/>
      <c r="Z597" s="42"/>
      <c r="AA597" s="42"/>
    </row>
    <row r="598" ht="13.75" customHeight="1">
      <c r="A598" s="14" t="s">
        <v>140</v>
      </c>
      <c r="B598" s="56"/>
      <c r="C598" s="57"/>
      <c r="D598" s="57"/>
      <c r="E598" s="57"/>
      <c r="F598" s="57"/>
      <c r="G598" s="57"/>
      <c r="H598" s="58"/>
      <c r="I598" s="54"/>
      <c r="J598" s="59"/>
      <c r="K598" s="38"/>
      <c r="L598" s="38"/>
      <c r="M598" s="38"/>
      <c r="N598" s="38"/>
      <c r="O598" s="38"/>
      <c r="P598" s="38"/>
      <c r="Q598" s="38"/>
      <c r="R598" s="38"/>
      <c r="S598" s="38"/>
      <c r="T598" s="38"/>
      <c r="U598" s="38"/>
      <c r="V598" s="38"/>
      <c r="W598" s="38"/>
      <c r="X598" s="53"/>
      <c r="Y598" s="42"/>
      <c r="Z598" s="42"/>
      <c r="AA598" s="42"/>
    </row>
    <row r="599" ht="13.75" customHeight="1">
      <c r="A599" s="14" t="s">
        <v>140</v>
      </c>
      <c r="B599" s="56"/>
      <c r="C599" s="57"/>
      <c r="D599" s="57"/>
      <c r="E599" s="57"/>
      <c r="F599" s="57"/>
      <c r="G599" s="57"/>
      <c r="H599" s="58"/>
      <c r="I599" s="54"/>
      <c r="J599" s="59"/>
      <c r="K599" s="38"/>
      <c r="L599" s="38"/>
      <c r="M599" s="38"/>
      <c r="N599" s="38"/>
      <c r="O599" s="38"/>
      <c r="P599" s="38"/>
      <c r="Q599" s="38"/>
      <c r="R599" s="38"/>
      <c r="S599" s="38"/>
      <c r="T599" s="38"/>
      <c r="U599" s="38"/>
      <c r="V599" s="38"/>
      <c r="W599" s="38"/>
      <c r="X599" s="53"/>
      <c r="Y599" s="42"/>
      <c r="Z599" s="42"/>
      <c r="AA599" s="42"/>
    </row>
    <row r="600" ht="13.75" customHeight="1">
      <c r="A600" s="14" t="s">
        <v>140</v>
      </c>
      <c r="B600" s="56"/>
      <c r="C600" s="57"/>
      <c r="D600" s="57"/>
      <c r="E600" s="57"/>
      <c r="F600" s="57"/>
      <c r="G600" s="57"/>
      <c r="H600" s="58"/>
      <c r="I600" s="54"/>
      <c r="J600" s="59"/>
      <c r="K600" s="38"/>
      <c r="L600" s="38"/>
      <c r="M600" s="38"/>
      <c r="N600" s="38"/>
      <c r="O600" s="38"/>
      <c r="P600" s="38"/>
      <c r="Q600" s="38"/>
      <c r="R600" s="38"/>
      <c r="S600" s="38"/>
      <c r="T600" s="38"/>
      <c r="U600" s="38"/>
      <c r="V600" s="38"/>
      <c r="W600" s="38"/>
      <c r="X600" s="53"/>
      <c r="Y600" s="42"/>
      <c r="Z600" s="42"/>
      <c r="AA600" s="42"/>
    </row>
    <row r="601" ht="13.75" customHeight="1">
      <c r="A601" s="14" t="s">
        <v>140</v>
      </c>
      <c r="B601" s="56"/>
      <c r="C601" s="57"/>
      <c r="D601" s="57"/>
      <c r="E601" s="57"/>
      <c r="F601" s="57"/>
      <c r="G601" s="57"/>
      <c r="H601" s="58"/>
      <c r="I601" s="54"/>
      <c r="J601" s="59"/>
      <c r="K601" s="38"/>
      <c r="L601" s="38"/>
      <c r="M601" s="38"/>
      <c r="N601" s="38"/>
      <c r="O601" s="38"/>
      <c r="P601" s="38"/>
      <c r="Q601" s="38"/>
      <c r="R601" s="38"/>
      <c r="S601" s="38"/>
      <c r="T601" s="38"/>
      <c r="U601" s="38"/>
      <c r="V601" s="38"/>
      <c r="W601" s="38"/>
      <c r="X601" s="53"/>
      <c r="Y601" s="42"/>
      <c r="Z601" s="42"/>
      <c r="AA601" s="42"/>
    </row>
    <row r="602" ht="13.75" customHeight="1">
      <c r="A602" s="14" t="s">
        <v>140</v>
      </c>
      <c r="B602" s="56"/>
      <c r="C602" s="57"/>
      <c r="D602" s="57"/>
      <c r="E602" s="57"/>
      <c r="F602" s="57"/>
      <c r="G602" s="57"/>
      <c r="H602" s="58"/>
      <c r="I602" s="54"/>
      <c r="J602" s="59"/>
      <c r="K602" s="38"/>
      <c r="L602" s="38"/>
      <c r="M602" s="38"/>
      <c r="N602" s="38"/>
      <c r="O602" s="38"/>
      <c r="P602" s="38"/>
      <c r="Q602" s="38"/>
      <c r="R602" s="38"/>
      <c r="S602" s="38"/>
      <c r="T602" s="38"/>
      <c r="U602" s="38"/>
      <c r="V602" s="38"/>
      <c r="W602" s="38"/>
      <c r="X602" s="53"/>
      <c r="Y602" s="42"/>
      <c r="Z602" s="42"/>
      <c r="AA602" s="42"/>
    </row>
    <row r="603" ht="13.75" customHeight="1">
      <c r="A603" s="14" t="s">
        <v>140</v>
      </c>
      <c r="B603" s="56"/>
      <c r="C603" s="57"/>
      <c r="D603" s="57"/>
      <c r="E603" s="57"/>
      <c r="F603" s="57"/>
      <c r="G603" s="57"/>
      <c r="H603" s="58"/>
      <c r="I603" s="54"/>
      <c r="J603" s="59"/>
      <c r="K603" s="38"/>
      <c r="L603" s="38"/>
      <c r="M603" s="38"/>
      <c r="N603" s="38"/>
      <c r="O603" s="38"/>
      <c r="P603" s="38"/>
      <c r="Q603" s="38"/>
      <c r="R603" s="38"/>
      <c r="S603" s="38"/>
      <c r="T603" s="38"/>
      <c r="U603" s="38"/>
      <c r="V603" s="38"/>
      <c r="W603" s="38"/>
      <c r="X603" s="53"/>
      <c r="Y603" s="42"/>
      <c r="Z603" s="42"/>
      <c r="AA603" s="42"/>
    </row>
    <row r="604" ht="13.75" customHeight="1">
      <c r="A604" s="14" t="s">
        <v>140</v>
      </c>
      <c r="B604" s="56"/>
      <c r="C604" s="57"/>
      <c r="D604" s="57"/>
      <c r="E604" s="57"/>
      <c r="F604" s="57"/>
      <c r="G604" s="57"/>
      <c r="H604" s="58"/>
      <c r="I604" s="54"/>
      <c r="J604" s="59"/>
      <c r="K604" s="38"/>
      <c r="L604" s="38"/>
      <c r="M604" s="38"/>
      <c r="N604" s="38"/>
      <c r="O604" s="38"/>
      <c r="P604" s="38"/>
      <c r="Q604" s="38"/>
      <c r="R604" s="38"/>
      <c r="S604" s="38"/>
      <c r="T604" s="38"/>
      <c r="U604" s="38"/>
      <c r="V604" s="38"/>
      <c r="W604" s="38"/>
      <c r="X604" s="53"/>
      <c r="Y604" s="42"/>
      <c r="Z604" s="42"/>
      <c r="AA604" s="42"/>
    </row>
    <row r="605" ht="13.75" customHeight="1">
      <c r="A605" s="14" t="s">
        <v>140</v>
      </c>
      <c r="B605" s="56"/>
      <c r="C605" s="57"/>
      <c r="D605" s="57"/>
      <c r="E605" s="57"/>
      <c r="F605" s="57"/>
      <c r="G605" s="57"/>
      <c r="H605" s="58"/>
      <c r="I605" s="54"/>
      <c r="J605" s="59"/>
      <c r="K605" s="38"/>
      <c r="L605" s="38"/>
      <c r="M605" s="38"/>
      <c r="N605" s="38"/>
      <c r="O605" s="38"/>
      <c r="P605" s="38"/>
      <c r="Q605" s="38"/>
      <c r="R605" s="38"/>
      <c r="S605" s="38"/>
      <c r="T605" s="38"/>
      <c r="U605" s="38"/>
      <c r="V605" s="38"/>
      <c r="W605" s="38"/>
      <c r="X605" s="53"/>
      <c r="Y605" s="42"/>
      <c r="Z605" s="42"/>
      <c r="AA605" s="42"/>
    </row>
    <row r="606" ht="13.75" customHeight="1">
      <c r="A606" s="14" t="s">
        <v>140</v>
      </c>
      <c r="B606" s="56"/>
      <c r="C606" s="57"/>
      <c r="D606" s="57"/>
      <c r="E606" s="57"/>
      <c r="F606" s="57"/>
      <c r="G606" s="57"/>
      <c r="H606" s="58"/>
      <c r="I606" s="54"/>
      <c r="J606" s="59"/>
      <c r="K606" s="38"/>
      <c r="L606" s="38"/>
      <c r="M606" s="38"/>
      <c r="N606" s="38"/>
      <c r="O606" s="38"/>
      <c r="P606" s="38"/>
      <c r="Q606" s="38"/>
      <c r="R606" s="38"/>
      <c r="S606" s="38"/>
      <c r="T606" s="38"/>
      <c r="U606" s="38"/>
      <c r="V606" s="38"/>
      <c r="W606" s="38"/>
      <c r="X606" s="53"/>
      <c r="Y606" s="42"/>
      <c r="Z606" s="42"/>
      <c r="AA606" s="42"/>
    </row>
    <row r="607" ht="13.75" customHeight="1">
      <c r="A607" s="14" t="s">
        <v>140</v>
      </c>
      <c r="B607" s="56"/>
      <c r="C607" s="57"/>
      <c r="D607" s="57"/>
      <c r="E607" s="57"/>
      <c r="F607" s="57"/>
      <c r="G607" s="57"/>
      <c r="H607" s="58"/>
      <c r="I607" s="54"/>
      <c r="J607" s="59"/>
      <c r="K607" s="38"/>
      <c r="L607" s="38"/>
      <c r="M607" s="38"/>
      <c r="N607" s="38"/>
      <c r="O607" s="38"/>
      <c r="P607" s="38"/>
      <c r="Q607" s="38"/>
      <c r="R607" s="38"/>
      <c r="S607" s="38"/>
      <c r="T607" s="38"/>
      <c r="U607" s="38"/>
      <c r="V607" s="38"/>
      <c r="W607" s="38"/>
      <c r="X607" s="53"/>
      <c r="Y607" s="42"/>
      <c r="Z607" s="42"/>
      <c r="AA607" s="42"/>
    </row>
    <row r="608" ht="13.75" customHeight="1">
      <c r="A608" s="14" t="s">
        <v>140</v>
      </c>
      <c r="B608" s="56"/>
      <c r="C608" s="57"/>
      <c r="D608" s="57"/>
      <c r="E608" s="57"/>
      <c r="F608" s="57"/>
      <c r="G608" s="57"/>
      <c r="H608" s="58"/>
      <c r="I608" s="54"/>
      <c r="J608" s="59"/>
      <c r="K608" s="38"/>
      <c r="L608" s="38"/>
      <c r="M608" s="38"/>
      <c r="N608" s="38"/>
      <c r="O608" s="38"/>
      <c r="P608" s="38"/>
      <c r="Q608" s="38"/>
      <c r="R608" s="38"/>
      <c r="S608" s="38"/>
      <c r="T608" s="38"/>
      <c r="U608" s="38"/>
      <c r="V608" s="38"/>
      <c r="W608" s="38"/>
      <c r="X608" s="53"/>
      <c r="Y608" s="42"/>
      <c r="Z608" s="42"/>
      <c r="AA608" s="42"/>
    </row>
    <row r="609" ht="13.75" customHeight="1">
      <c r="A609" s="14" t="s">
        <v>140</v>
      </c>
      <c r="B609" s="56"/>
      <c r="C609" s="57"/>
      <c r="D609" s="57"/>
      <c r="E609" s="57"/>
      <c r="F609" s="57"/>
      <c r="G609" s="57"/>
      <c r="H609" s="58"/>
      <c r="I609" s="54"/>
      <c r="J609" s="59"/>
      <c r="K609" s="38"/>
      <c r="L609" s="38"/>
      <c r="M609" s="38"/>
      <c r="N609" s="38"/>
      <c r="O609" s="38"/>
      <c r="P609" s="38"/>
      <c r="Q609" s="38"/>
      <c r="R609" s="38"/>
      <c r="S609" s="38"/>
      <c r="T609" s="38"/>
      <c r="U609" s="38"/>
      <c r="V609" s="38"/>
      <c r="W609" s="38"/>
      <c r="X609" s="53"/>
      <c r="Y609" s="42"/>
      <c r="Z609" s="42"/>
      <c r="AA609" s="42"/>
    </row>
    <row r="610" ht="13.75" customHeight="1">
      <c r="A610" s="14" t="s">
        <v>140</v>
      </c>
      <c r="B610" s="56"/>
      <c r="C610" s="57"/>
      <c r="D610" s="57"/>
      <c r="E610" s="57"/>
      <c r="F610" s="57"/>
      <c r="G610" s="57"/>
      <c r="H610" s="58"/>
      <c r="I610" s="54"/>
      <c r="J610" s="59"/>
      <c r="K610" s="38"/>
      <c r="L610" s="38"/>
      <c r="M610" s="38"/>
      <c r="N610" s="38"/>
      <c r="O610" s="38"/>
      <c r="P610" s="38"/>
      <c r="Q610" s="38"/>
      <c r="R610" s="38"/>
      <c r="S610" s="38"/>
      <c r="T610" s="38"/>
      <c r="U610" s="38"/>
      <c r="V610" s="38"/>
      <c r="W610" s="38"/>
      <c r="X610" s="53"/>
      <c r="Y610" s="42"/>
      <c r="Z610" s="42"/>
      <c r="AA610" s="42"/>
    </row>
    <row r="611" ht="13.75" customHeight="1">
      <c r="A611" s="14" t="s">
        <v>140</v>
      </c>
      <c r="B611" s="56"/>
      <c r="C611" s="57"/>
      <c r="D611" s="57"/>
      <c r="E611" s="57"/>
      <c r="F611" s="57"/>
      <c r="G611" s="57"/>
      <c r="H611" s="58"/>
      <c r="I611" s="54"/>
      <c r="J611" s="59"/>
      <c r="K611" s="38"/>
      <c r="L611" s="38"/>
      <c r="M611" s="38"/>
      <c r="N611" s="38"/>
      <c r="O611" s="38"/>
      <c r="P611" s="38"/>
      <c r="Q611" s="38"/>
      <c r="R611" s="38"/>
      <c r="S611" s="38"/>
      <c r="T611" s="38"/>
      <c r="U611" s="38"/>
      <c r="V611" s="38"/>
      <c r="W611" s="38"/>
      <c r="X611" s="53"/>
      <c r="Y611" s="42"/>
      <c r="Z611" s="42"/>
      <c r="AA611" s="42"/>
    </row>
    <row r="612" ht="13.75" customHeight="1">
      <c r="A612" s="14" t="s">
        <v>140</v>
      </c>
      <c r="B612" s="56"/>
      <c r="C612" s="57"/>
      <c r="D612" s="57"/>
      <c r="E612" s="57"/>
      <c r="F612" s="57"/>
      <c r="G612" s="57"/>
      <c r="H612" s="58"/>
      <c r="I612" s="54"/>
      <c r="J612" s="59"/>
      <c r="K612" s="38"/>
      <c r="L612" s="38"/>
      <c r="M612" s="38"/>
      <c r="N612" s="38"/>
      <c r="O612" s="38"/>
      <c r="P612" s="38"/>
      <c r="Q612" s="38"/>
      <c r="R612" s="38"/>
      <c r="S612" s="38"/>
      <c r="T612" s="38"/>
      <c r="U612" s="38"/>
      <c r="V612" s="38"/>
      <c r="W612" s="38"/>
      <c r="X612" s="53"/>
      <c r="Y612" s="42"/>
      <c r="Z612" s="42"/>
      <c r="AA612" s="42"/>
    </row>
    <row r="613" ht="13.75" customHeight="1">
      <c r="A613" s="14" t="s">
        <v>140</v>
      </c>
      <c r="B613" s="56"/>
      <c r="C613" s="57"/>
      <c r="D613" s="57"/>
      <c r="E613" s="57"/>
      <c r="F613" s="57"/>
      <c r="G613" s="57"/>
      <c r="H613" s="58"/>
      <c r="I613" s="54"/>
      <c r="J613" s="59"/>
      <c r="K613" s="38"/>
      <c r="L613" s="38"/>
      <c r="M613" s="38"/>
      <c r="N613" s="38"/>
      <c r="O613" s="38"/>
      <c r="P613" s="38"/>
      <c r="Q613" s="38"/>
      <c r="R613" s="38"/>
      <c r="S613" s="38"/>
      <c r="T613" s="38"/>
      <c r="U613" s="38"/>
      <c r="V613" s="38"/>
      <c r="W613" s="38"/>
      <c r="X613" s="53"/>
      <c r="Y613" s="42"/>
      <c r="Z613" s="42"/>
      <c r="AA613" s="42"/>
    </row>
    <row r="614" ht="13.75" customHeight="1">
      <c r="A614" s="14" t="s">
        <v>140</v>
      </c>
      <c r="B614" s="56"/>
      <c r="C614" s="57"/>
      <c r="D614" s="57"/>
      <c r="E614" s="57"/>
      <c r="F614" s="57"/>
      <c r="G614" s="57"/>
      <c r="H614" s="58"/>
      <c r="I614" s="54"/>
      <c r="J614" s="59"/>
      <c r="K614" s="38"/>
      <c r="L614" s="38"/>
      <c r="M614" s="38"/>
      <c r="N614" s="38"/>
      <c r="O614" s="38"/>
      <c r="P614" s="38"/>
      <c r="Q614" s="38"/>
      <c r="R614" s="38"/>
      <c r="S614" s="38"/>
      <c r="T614" s="38"/>
      <c r="U614" s="38"/>
      <c r="V614" s="38"/>
      <c r="W614" s="38"/>
      <c r="X614" s="53"/>
      <c r="Y614" s="42"/>
      <c r="Z614" s="42"/>
      <c r="AA614" s="42"/>
    </row>
    <row r="615" ht="13.75" customHeight="1">
      <c r="A615" s="14" t="s">
        <v>140</v>
      </c>
      <c r="B615" s="56"/>
      <c r="C615" s="57"/>
      <c r="D615" s="57"/>
      <c r="E615" s="57"/>
      <c r="F615" s="57"/>
      <c r="G615" s="57"/>
      <c r="H615" s="58"/>
      <c r="I615" s="54"/>
      <c r="J615" s="59"/>
      <c r="K615" s="38"/>
      <c r="L615" s="38"/>
      <c r="M615" s="38"/>
      <c r="N615" s="38"/>
      <c r="O615" s="38"/>
      <c r="P615" s="38"/>
      <c r="Q615" s="38"/>
      <c r="R615" s="38"/>
      <c r="S615" s="38"/>
      <c r="T615" s="38"/>
      <c r="U615" s="38"/>
      <c r="V615" s="38"/>
      <c r="W615" s="38"/>
      <c r="X615" s="53"/>
      <c r="Y615" s="42"/>
      <c r="Z615" s="42"/>
      <c r="AA615" s="42"/>
    </row>
    <row r="616" ht="13.75" customHeight="1">
      <c r="A616" s="14" t="s">
        <v>140</v>
      </c>
      <c r="B616" s="56"/>
      <c r="C616" s="57"/>
      <c r="D616" s="57"/>
      <c r="E616" s="57"/>
      <c r="F616" s="57"/>
      <c r="G616" s="57"/>
      <c r="H616" s="58"/>
      <c r="I616" s="54"/>
      <c r="J616" s="59"/>
      <c r="K616" s="38"/>
      <c r="L616" s="38"/>
      <c r="M616" s="38"/>
      <c r="N616" s="38"/>
      <c r="O616" s="38"/>
      <c r="P616" s="38"/>
      <c r="Q616" s="38"/>
      <c r="R616" s="38"/>
      <c r="S616" s="38"/>
      <c r="T616" s="38"/>
      <c r="U616" s="38"/>
      <c r="V616" s="38"/>
      <c r="W616" s="38"/>
      <c r="X616" s="53"/>
      <c r="Y616" s="42"/>
      <c r="Z616" s="42"/>
      <c r="AA616" s="42"/>
    </row>
    <row r="617" ht="13.75" customHeight="1">
      <c r="A617" s="14" t="s">
        <v>140</v>
      </c>
      <c r="B617" s="56"/>
      <c r="C617" s="57"/>
      <c r="D617" s="57"/>
      <c r="E617" s="57"/>
      <c r="F617" s="57"/>
      <c r="G617" s="57"/>
      <c r="H617" s="58"/>
      <c r="I617" s="54"/>
      <c r="J617" s="59"/>
      <c r="K617" s="38"/>
      <c r="L617" s="38"/>
      <c r="M617" s="38"/>
      <c r="N617" s="38"/>
      <c r="O617" s="38"/>
      <c r="P617" s="38"/>
      <c r="Q617" s="38"/>
      <c r="R617" s="38"/>
      <c r="S617" s="38"/>
      <c r="T617" s="38"/>
      <c r="U617" s="38"/>
      <c r="V617" s="38"/>
      <c r="W617" s="38"/>
      <c r="X617" s="53"/>
      <c r="Y617" s="42"/>
      <c r="Z617" s="42"/>
      <c r="AA617" s="42"/>
    </row>
    <row r="618" ht="13.75" customHeight="1">
      <c r="A618" s="14" t="s">
        <v>140</v>
      </c>
      <c r="B618" s="56"/>
      <c r="C618" s="57"/>
      <c r="D618" s="57"/>
      <c r="E618" s="57"/>
      <c r="F618" s="57"/>
      <c r="G618" s="57"/>
      <c r="H618" s="58"/>
      <c r="I618" s="54"/>
      <c r="J618" s="59"/>
      <c r="K618" s="38"/>
      <c r="L618" s="38"/>
      <c r="M618" s="38"/>
      <c r="N618" s="38"/>
      <c r="O618" s="38"/>
      <c r="P618" s="38"/>
      <c r="Q618" s="38"/>
      <c r="R618" s="38"/>
      <c r="S618" s="38"/>
      <c r="T618" s="38"/>
      <c r="U618" s="38"/>
      <c r="V618" s="38"/>
      <c r="W618" s="38"/>
      <c r="X618" s="53"/>
      <c r="Y618" s="42"/>
      <c r="Z618" s="42"/>
      <c r="AA618" s="42"/>
    </row>
    <row r="619" ht="13.75" customHeight="1">
      <c r="A619" s="14" t="s">
        <v>140</v>
      </c>
      <c r="B619" s="56"/>
      <c r="C619" s="57"/>
      <c r="D619" s="57"/>
      <c r="E619" s="57"/>
      <c r="F619" s="57"/>
      <c r="G619" s="57"/>
      <c r="H619" s="58"/>
      <c r="I619" s="54"/>
      <c r="J619" s="59"/>
      <c r="K619" s="38"/>
      <c r="L619" s="38"/>
      <c r="M619" s="38"/>
      <c r="N619" s="38"/>
      <c r="O619" s="38"/>
      <c r="P619" s="38"/>
      <c r="Q619" s="38"/>
      <c r="R619" s="38"/>
      <c r="S619" s="38"/>
      <c r="T619" s="38"/>
      <c r="U619" s="38"/>
      <c r="V619" s="38"/>
      <c r="W619" s="38"/>
      <c r="X619" s="53"/>
      <c r="Y619" s="42"/>
      <c r="Z619" s="42"/>
      <c r="AA619" s="42"/>
    </row>
    <row r="620" ht="13.75" customHeight="1">
      <c r="A620" s="14" t="s">
        <v>140</v>
      </c>
      <c r="B620" s="56"/>
      <c r="C620" s="57"/>
      <c r="D620" s="57"/>
      <c r="E620" s="57"/>
      <c r="F620" s="57"/>
      <c r="G620" s="57"/>
      <c r="H620" s="58"/>
      <c r="I620" s="54"/>
      <c r="J620" s="59"/>
      <c r="K620" s="38"/>
      <c r="L620" s="38"/>
      <c r="M620" s="38"/>
      <c r="N620" s="38"/>
      <c r="O620" s="38"/>
      <c r="P620" s="38"/>
      <c r="Q620" s="38"/>
      <c r="R620" s="38"/>
      <c r="S620" s="38"/>
      <c r="T620" s="38"/>
      <c r="U620" s="38"/>
      <c r="V620" s="38"/>
      <c r="W620" s="38"/>
      <c r="X620" s="53"/>
      <c r="Y620" s="42"/>
      <c r="Z620" s="42"/>
      <c r="AA620" s="42"/>
    </row>
    <row r="621" ht="13.75" customHeight="1">
      <c r="A621" s="14" t="s">
        <v>140</v>
      </c>
      <c r="B621" s="56"/>
      <c r="C621" s="57"/>
      <c r="D621" s="57"/>
      <c r="E621" s="57"/>
      <c r="F621" s="57"/>
      <c r="G621" s="57"/>
      <c r="H621" s="58"/>
      <c r="I621" s="54"/>
      <c r="J621" s="59"/>
      <c r="K621" s="38"/>
      <c r="L621" s="38"/>
      <c r="M621" s="38"/>
      <c r="N621" s="38"/>
      <c r="O621" s="38"/>
      <c r="P621" s="38"/>
      <c r="Q621" s="38"/>
      <c r="R621" s="38"/>
      <c r="S621" s="38"/>
      <c r="T621" s="38"/>
      <c r="U621" s="38"/>
      <c r="V621" s="38"/>
      <c r="W621" s="38"/>
      <c r="X621" s="53"/>
      <c r="Y621" s="42"/>
      <c r="Z621" s="42"/>
      <c r="AA621" s="42"/>
    </row>
    <row r="622" ht="13.75" customHeight="1">
      <c r="A622" s="14" t="s">
        <v>140</v>
      </c>
      <c r="B622" s="56"/>
      <c r="C622" s="57"/>
      <c r="D622" s="57"/>
      <c r="E622" s="57"/>
      <c r="F622" s="57"/>
      <c r="G622" s="57"/>
      <c r="H622" s="58"/>
      <c r="I622" s="54"/>
      <c r="J622" s="59"/>
      <c r="K622" s="38"/>
      <c r="L622" s="38"/>
      <c r="M622" s="38"/>
      <c r="N622" s="38"/>
      <c r="O622" s="38"/>
      <c r="P622" s="38"/>
      <c r="Q622" s="38"/>
      <c r="R622" s="38"/>
      <c r="S622" s="38"/>
      <c r="T622" s="38"/>
      <c r="U622" s="38"/>
      <c r="V622" s="38"/>
      <c r="W622" s="38"/>
      <c r="X622" s="53"/>
      <c r="Y622" s="42"/>
      <c r="Z622" s="42"/>
      <c r="AA622" s="42"/>
    </row>
    <row r="623" ht="13.75" customHeight="1">
      <c r="A623" s="14" t="s">
        <v>140</v>
      </c>
      <c r="B623" s="56"/>
      <c r="C623" s="57"/>
      <c r="D623" s="57"/>
      <c r="E623" s="57"/>
      <c r="F623" s="57"/>
      <c r="G623" s="57"/>
      <c r="H623" s="58"/>
      <c r="I623" s="54"/>
      <c r="J623" s="59"/>
      <c r="K623" s="38"/>
      <c r="L623" s="38"/>
      <c r="M623" s="38"/>
      <c r="N623" s="38"/>
      <c r="O623" s="38"/>
      <c r="P623" s="38"/>
      <c r="Q623" s="38"/>
      <c r="R623" s="38"/>
      <c r="S623" s="38"/>
      <c r="T623" s="38"/>
      <c r="U623" s="38"/>
      <c r="V623" s="38"/>
      <c r="W623" s="38"/>
      <c r="X623" s="53"/>
      <c r="Y623" s="42"/>
      <c r="Z623" s="42"/>
      <c r="AA623" s="42"/>
    </row>
    <row r="624" ht="13.75" customHeight="1">
      <c r="A624" s="14" t="s">
        <v>140</v>
      </c>
      <c r="B624" s="56"/>
      <c r="C624" s="57"/>
      <c r="D624" s="57"/>
      <c r="E624" s="57"/>
      <c r="F624" s="57"/>
      <c r="G624" s="57"/>
      <c r="H624" s="58"/>
      <c r="I624" s="54"/>
      <c r="J624" s="59"/>
      <c r="K624" s="38"/>
      <c r="L624" s="38"/>
      <c r="M624" s="38"/>
      <c r="N624" s="38"/>
      <c r="O624" s="38"/>
      <c r="P624" s="38"/>
      <c r="Q624" s="38"/>
      <c r="R624" s="38"/>
      <c r="S624" s="38"/>
      <c r="T624" s="38"/>
      <c r="U624" s="38"/>
      <c r="V624" s="38"/>
      <c r="W624" s="38"/>
      <c r="X624" s="53"/>
      <c r="Y624" s="42"/>
      <c r="Z624" s="42"/>
      <c r="AA624" s="42"/>
    </row>
    <row r="625" ht="13.75" customHeight="1">
      <c r="A625" s="14" t="s">
        <v>140</v>
      </c>
      <c r="B625" s="56"/>
      <c r="C625" s="57"/>
      <c r="D625" s="57"/>
      <c r="E625" s="57"/>
      <c r="F625" s="57"/>
      <c r="G625" s="57"/>
      <c r="H625" s="58"/>
      <c r="I625" s="54"/>
      <c r="J625" s="59"/>
      <c r="K625" s="38"/>
      <c r="L625" s="38"/>
      <c r="M625" s="38"/>
      <c r="N625" s="38"/>
      <c r="O625" s="38"/>
      <c r="P625" s="38"/>
      <c r="Q625" s="38"/>
      <c r="R625" s="38"/>
      <c r="S625" s="38"/>
      <c r="T625" s="38"/>
      <c r="U625" s="38"/>
      <c r="V625" s="38"/>
      <c r="W625" s="38"/>
      <c r="X625" s="53"/>
      <c r="Y625" s="42"/>
      <c r="Z625" s="42"/>
      <c r="AA625" s="42"/>
    </row>
    <row r="626" ht="13.75" customHeight="1">
      <c r="A626" s="14" t="s">
        <v>140</v>
      </c>
      <c r="B626" s="56"/>
      <c r="C626" s="57"/>
      <c r="D626" s="57"/>
      <c r="E626" s="57"/>
      <c r="F626" s="57"/>
      <c r="G626" s="57"/>
      <c r="H626" s="58"/>
      <c r="I626" s="54"/>
      <c r="J626" s="59"/>
      <c r="K626" s="38"/>
      <c r="L626" s="38"/>
      <c r="M626" s="38"/>
      <c r="N626" s="38"/>
      <c r="O626" s="38"/>
      <c r="P626" s="38"/>
      <c r="Q626" s="38"/>
      <c r="R626" s="38"/>
      <c r="S626" s="38"/>
      <c r="T626" s="38"/>
      <c r="U626" s="38"/>
      <c r="V626" s="38"/>
      <c r="W626" s="38"/>
      <c r="X626" s="53"/>
      <c r="Y626" s="42"/>
      <c r="Z626" s="42"/>
      <c r="AA626" s="42"/>
    </row>
    <row r="627" ht="13.75" customHeight="1">
      <c r="A627" s="14" t="s">
        <v>140</v>
      </c>
      <c r="B627" s="56"/>
      <c r="C627" s="57"/>
      <c r="D627" s="57"/>
      <c r="E627" s="57"/>
      <c r="F627" s="57"/>
      <c r="G627" s="57"/>
      <c r="H627" s="58"/>
      <c r="I627" s="54"/>
      <c r="J627" s="59"/>
      <c r="K627" s="38"/>
      <c r="L627" s="38"/>
      <c r="M627" s="38"/>
      <c r="N627" s="38"/>
      <c r="O627" s="38"/>
      <c r="P627" s="38"/>
      <c r="Q627" s="38"/>
      <c r="R627" s="38"/>
      <c r="S627" s="38"/>
      <c r="T627" s="38"/>
      <c r="U627" s="38"/>
      <c r="V627" s="38"/>
      <c r="W627" s="38"/>
      <c r="X627" s="53"/>
      <c r="Y627" s="42"/>
      <c r="Z627" s="42"/>
      <c r="AA627" s="42"/>
    </row>
    <row r="628" ht="13.75" customHeight="1">
      <c r="A628" s="14" t="s">
        <v>140</v>
      </c>
      <c r="B628" s="56"/>
      <c r="C628" s="57"/>
      <c r="D628" s="57"/>
      <c r="E628" s="57"/>
      <c r="F628" s="57"/>
      <c r="G628" s="57"/>
      <c r="H628" s="58"/>
      <c r="I628" s="54"/>
      <c r="J628" s="59"/>
      <c r="K628" s="38"/>
      <c r="L628" s="38"/>
      <c r="M628" s="38"/>
      <c r="N628" s="38"/>
      <c r="O628" s="38"/>
      <c r="P628" s="38"/>
      <c r="Q628" s="38"/>
      <c r="R628" s="38"/>
      <c r="S628" s="38"/>
      <c r="T628" s="38"/>
      <c r="U628" s="38"/>
      <c r="V628" s="38"/>
      <c r="W628" s="38"/>
      <c r="X628" s="53"/>
      <c r="Y628" s="42"/>
      <c r="Z628" s="42"/>
      <c r="AA628" s="42"/>
    </row>
    <row r="629" ht="13.75" customHeight="1">
      <c r="A629" s="14" t="s">
        <v>140</v>
      </c>
      <c r="B629" s="56"/>
      <c r="C629" s="57"/>
      <c r="D629" s="57"/>
      <c r="E629" s="57"/>
      <c r="F629" s="57"/>
      <c r="G629" s="57"/>
      <c r="H629" s="58"/>
      <c r="I629" s="54"/>
      <c r="J629" s="59"/>
      <c r="K629" s="38"/>
      <c r="L629" s="38"/>
      <c r="M629" s="38"/>
      <c r="N629" s="38"/>
      <c r="O629" s="38"/>
      <c r="P629" s="38"/>
      <c r="Q629" s="38"/>
      <c r="R629" s="38"/>
      <c r="S629" s="38"/>
      <c r="T629" s="38"/>
      <c r="U629" s="38"/>
      <c r="V629" s="38"/>
      <c r="W629" s="38"/>
      <c r="X629" s="53"/>
      <c r="Y629" s="42"/>
      <c r="Z629" s="42"/>
      <c r="AA629" s="42"/>
    </row>
    <row r="630" ht="13.75" customHeight="1">
      <c r="A630" s="14" t="s">
        <v>140</v>
      </c>
      <c r="B630" s="56"/>
      <c r="C630" s="57"/>
      <c r="D630" s="57"/>
      <c r="E630" s="57"/>
      <c r="F630" s="57"/>
      <c r="G630" s="57"/>
      <c r="H630" s="58"/>
      <c r="I630" s="54"/>
      <c r="J630" s="59"/>
      <c r="K630" s="38"/>
      <c r="L630" s="38"/>
      <c r="M630" s="38"/>
      <c r="N630" s="38"/>
      <c r="O630" s="38"/>
      <c r="P630" s="38"/>
      <c r="Q630" s="38"/>
      <c r="R630" s="38"/>
      <c r="S630" s="38"/>
      <c r="T630" s="38"/>
      <c r="U630" s="38"/>
      <c r="V630" s="38"/>
      <c r="W630" s="38"/>
      <c r="X630" s="53"/>
      <c r="Y630" s="42"/>
      <c r="Z630" s="42"/>
      <c r="AA630" s="42"/>
    </row>
    <row r="631" ht="13.75" customHeight="1">
      <c r="A631" s="14" t="s">
        <v>140</v>
      </c>
      <c r="B631" s="56"/>
      <c r="C631" s="57"/>
      <c r="D631" s="57"/>
      <c r="E631" s="57"/>
      <c r="F631" s="57"/>
      <c r="G631" s="57"/>
      <c r="H631" s="58"/>
      <c r="I631" s="54"/>
      <c r="J631" s="59"/>
      <c r="K631" s="38"/>
      <c r="L631" s="38"/>
      <c r="M631" s="38"/>
      <c r="N631" s="38"/>
      <c r="O631" s="38"/>
      <c r="P631" s="38"/>
      <c r="Q631" s="38"/>
      <c r="R631" s="38"/>
      <c r="S631" s="38"/>
      <c r="T631" s="38"/>
      <c r="U631" s="38"/>
      <c r="V631" s="38"/>
      <c r="W631" s="38"/>
      <c r="X631" s="53"/>
      <c r="Y631" s="42"/>
      <c r="Z631" s="42"/>
      <c r="AA631" s="42"/>
    </row>
    <row r="632" ht="13.75" customHeight="1">
      <c r="A632" s="14" t="s">
        <v>140</v>
      </c>
      <c r="B632" s="56"/>
      <c r="C632" s="57"/>
      <c r="D632" s="57"/>
      <c r="E632" s="57"/>
      <c r="F632" s="57"/>
      <c r="G632" s="57"/>
      <c r="H632" s="58"/>
      <c r="I632" s="54"/>
      <c r="J632" s="59"/>
      <c r="K632" s="38"/>
      <c r="L632" s="38"/>
      <c r="M632" s="38"/>
      <c r="N632" s="38"/>
      <c r="O632" s="38"/>
      <c r="P632" s="38"/>
      <c r="Q632" s="38"/>
      <c r="R632" s="38"/>
      <c r="S632" s="38"/>
      <c r="T632" s="38"/>
      <c r="U632" s="38"/>
      <c r="V632" s="38"/>
      <c r="W632" s="38"/>
      <c r="X632" s="53"/>
      <c r="Y632" s="42"/>
      <c r="Z632" s="42"/>
      <c r="AA632" s="42"/>
    </row>
    <row r="633" ht="13.75" customHeight="1">
      <c r="A633" s="14" t="s">
        <v>140</v>
      </c>
      <c r="B633" s="56"/>
      <c r="C633" s="57"/>
      <c r="D633" s="57"/>
      <c r="E633" s="57"/>
      <c r="F633" s="57"/>
      <c r="G633" s="57"/>
      <c r="H633" s="58"/>
      <c r="I633" s="54"/>
      <c r="J633" s="59"/>
      <c r="K633" s="38"/>
      <c r="L633" s="38"/>
      <c r="M633" s="38"/>
      <c r="N633" s="38"/>
      <c r="O633" s="38"/>
      <c r="P633" s="38"/>
      <c r="Q633" s="38"/>
      <c r="R633" s="38"/>
      <c r="S633" s="38"/>
      <c r="T633" s="38"/>
      <c r="U633" s="38"/>
      <c r="V633" s="38"/>
      <c r="W633" s="38"/>
      <c r="X633" s="53"/>
      <c r="Y633" s="42"/>
      <c r="Z633" s="42"/>
      <c r="AA633" s="42"/>
    </row>
    <row r="634" ht="13.75" customHeight="1">
      <c r="A634" s="14" t="s">
        <v>140</v>
      </c>
      <c r="B634" s="56"/>
      <c r="C634" s="57"/>
      <c r="D634" s="57"/>
      <c r="E634" s="57"/>
      <c r="F634" s="57"/>
      <c r="G634" s="57"/>
      <c r="H634" s="58"/>
      <c r="I634" s="54"/>
      <c r="J634" s="59"/>
      <c r="K634" s="38"/>
      <c r="L634" s="38"/>
      <c r="M634" s="38"/>
      <c r="N634" s="38"/>
      <c r="O634" s="38"/>
      <c r="P634" s="38"/>
      <c r="Q634" s="38"/>
      <c r="R634" s="38"/>
      <c r="S634" s="38"/>
      <c r="T634" s="38"/>
      <c r="U634" s="38"/>
      <c r="V634" s="38"/>
      <c r="W634" s="38"/>
      <c r="X634" s="53"/>
      <c r="Y634" s="42"/>
      <c r="Z634" s="42"/>
      <c r="AA634" s="42"/>
    </row>
    <row r="635" ht="13.75" customHeight="1">
      <c r="A635" s="14" t="s">
        <v>140</v>
      </c>
      <c r="B635" s="56"/>
      <c r="C635" s="57"/>
      <c r="D635" s="57"/>
      <c r="E635" s="57"/>
      <c r="F635" s="57"/>
      <c r="G635" s="57"/>
      <c r="H635" s="58"/>
      <c r="I635" s="54"/>
      <c r="J635" s="59"/>
      <c r="K635" s="38"/>
      <c r="L635" s="38"/>
      <c r="M635" s="38"/>
      <c r="N635" s="38"/>
      <c r="O635" s="38"/>
      <c r="P635" s="38"/>
      <c r="Q635" s="38"/>
      <c r="R635" s="38"/>
      <c r="S635" s="38"/>
      <c r="T635" s="38"/>
      <c r="U635" s="38"/>
      <c r="V635" s="38"/>
      <c r="W635" s="38"/>
      <c r="X635" s="53"/>
      <c r="Y635" s="42"/>
      <c r="Z635" s="42"/>
      <c r="AA635" s="42"/>
    </row>
    <row r="636" ht="13.75" customHeight="1">
      <c r="A636" s="14" t="s">
        <v>140</v>
      </c>
      <c r="B636" s="56"/>
      <c r="C636" s="57"/>
      <c r="D636" s="57"/>
      <c r="E636" s="57"/>
      <c r="F636" s="57"/>
      <c r="G636" s="57"/>
      <c r="H636" s="58"/>
      <c r="I636" s="54"/>
      <c r="J636" s="59"/>
      <c r="K636" s="38"/>
      <c r="L636" s="38"/>
      <c r="M636" s="38"/>
      <c r="N636" s="38"/>
      <c r="O636" s="38"/>
      <c r="P636" s="38"/>
      <c r="Q636" s="38"/>
      <c r="R636" s="38"/>
      <c r="S636" s="38"/>
      <c r="T636" s="38"/>
      <c r="U636" s="38"/>
      <c r="V636" s="38"/>
      <c r="W636" s="38"/>
      <c r="X636" s="53"/>
      <c r="Y636" s="42"/>
      <c r="Z636" s="42"/>
      <c r="AA636" s="42"/>
    </row>
    <row r="637" ht="13.75" customHeight="1">
      <c r="A637" s="14" t="s">
        <v>140</v>
      </c>
      <c r="B637" s="56"/>
      <c r="C637" s="57"/>
      <c r="D637" s="57"/>
      <c r="E637" s="57"/>
      <c r="F637" s="57"/>
      <c r="G637" s="57"/>
      <c r="H637" s="58"/>
      <c r="I637" s="54"/>
      <c r="J637" s="59"/>
      <c r="K637" s="38"/>
      <c r="L637" s="38"/>
      <c r="M637" s="38"/>
      <c r="N637" s="38"/>
      <c r="O637" s="38"/>
      <c r="P637" s="38"/>
      <c r="Q637" s="38"/>
      <c r="R637" s="38"/>
      <c r="S637" s="38"/>
      <c r="T637" s="38"/>
      <c r="U637" s="38"/>
      <c r="V637" s="38"/>
      <c r="W637" s="38"/>
      <c r="X637" s="53"/>
      <c r="Y637" s="42"/>
      <c r="Z637" s="42"/>
      <c r="AA637" s="42"/>
    </row>
    <row r="638" ht="13.75" customHeight="1">
      <c r="A638" s="14" t="s">
        <v>140</v>
      </c>
      <c r="B638" s="56"/>
      <c r="C638" s="57"/>
      <c r="D638" s="57"/>
      <c r="E638" s="57"/>
      <c r="F638" s="57"/>
      <c r="G638" s="57"/>
      <c r="H638" s="58"/>
      <c r="I638" s="54"/>
      <c r="J638" s="59"/>
      <c r="K638" s="38"/>
      <c r="L638" s="38"/>
      <c r="M638" s="38"/>
      <c r="N638" s="38"/>
      <c r="O638" s="38"/>
      <c r="P638" s="38"/>
      <c r="Q638" s="38"/>
      <c r="R638" s="38"/>
      <c r="S638" s="38"/>
      <c r="T638" s="38"/>
      <c r="U638" s="38"/>
      <c r="V638" s="38"/>
      <c r="W638" s="38"/>
      <c r="X638" s="53"/>
      <c r="Y638" s="42"/>
      <c r="Z638" s="42"/>
      <c r="AA638" s="42"/>
    </row>
    <row r="639" ht="13.75" customHeight="1">
      <c r="A639" s="14" t="s">
        <v>140</v>
      </c>
      <c r="B639" s="56"/>
      <c r="C639" s="57"/>
      <c r="D639" s="57"/>
      <c r="E639" s="57"/>
      <c r="F639" s="57"/>
      <c r="G639" s="57"/>
      <c r="H639" s="58"/>
      <c r="I639" s="54"/>
      <c r="J639" s="59"/>
      <c r="K639" s="38"/>
      <c r="L639" s="38"/>
      <c r="M639" s="38"/>
      <c r="N639" s="38"/>
      <c r="O639" s="38"/>
      <c r="P639" s="38"/>
      <c r="Q639" s="38"/>
      <c r="R639" s="38"/>
      <c r="S639" s="38"/>
      <c r="T639" s="38"/>
      <c r="U639" s="38"/>
      <c r="V639" s="38"/>
      <c r="W639" s="38"/>
      <c r="X639" s="53"/>
      <c r="Y639" s="42"/>
      <c r="Z639" s="42"/>
      <c r="AA639" s="42"/>
    </row>
    <row r="640" ht="13.75" customHeight="1">
      <c r="A640" s="14" t="s">
        <v>140</v>
      </c>
      <c r="B640" s="56"/>
      <c r="C640" s="57"/>
      <c r="D640" s="57"/>
      <c r="E640" s="57"/>
      <c r="F640" s="57"/>
      <c r="G640" s="57"/>
      <c r="H640" s="58"/>
      <c r="I640" s="54"/>
      <c r="J640" s="59"/>
      <c r="K640" s="38"/>
      <c r="L640" s="38"/>
      <c r="M640" s="38"/>
      <c r="N640" s="38"/>
      <c r="O640" s="38"/>
      <c r="P640" s="38"/>
      <c r="Q640" s="38"/>
      <c r="R640" s="38"/>
      <c r="S640" s="38"/>
      <c r="T640" s="38"/>
      <c r="U640" s="38"/>
      <c r="V640" s="38"/>
      <c r="W640" s="38"/>
      <c r="X640" s="53"/>
      <c r="Y640" s="42"/>
      <c r="Z640" s="42"/>
      <c r="AA640" s="42"/>
    </row>
    <row r="641" ht="13.75" customHeight="1">
      <c r="A641" s="14" t="s">
        <v>140</v>
      </c>
      <c r="B641" s="56"/>
      <c r="C641" s="57"/>
      <c r="D641" s="57"/>
      <c r="E641" s="57"/>
      <c r="F641" s="57"/>
      <c r="G641" s="57"/>
      <c r="H641" s="58"/>
      <c r="I641" s="54"/>
      <c r="J641" s="59"/>
      <c r="K641" s="38"/>
      <c r="L641" s="38"/>
      <c r="M641" s="38"/>
      <c r="N641" s="38"/>
      <c r="O641" s="38"/>
      <c r="P641" s="38"/>
      <c r="Q641" s="38"/>
      <c r="R641" s="38"/>
      <c r="S641" s="38"/>
      <c r="T641" s="38"/>
      <c r="U641" s="38"/>
      <c r="V641" s="38"/>
      <c r="W641" s="38"/>
      <c r="X641" s="53"/>
      <c r="Y641" s="42"/>
      <c r="Z641" s="42"/>
      <c r="AA641" s="42"/>
    </row>
    <row r="642" ht="13.75" customHeight="1">
      <c r="A642" s="14" t="s">
        <v>140</v>
      </c>
      <c r="B642" s="56"/>
      <c r="C642" s="57"/>
      <c r="D642" s="57"/>
      <c r="E642" s="57"/>
      <c r="F642" s="57"/>
      <c r="G642" s="57"/>
      <c r="H642" s="58"/>
      <c r="I642" s="54"/>
      <c r="J642" s="59"/>
      <c r="K642" s="38"/>
      <c r="L642" s="38"/>
      <c r="M642" s="38"/>
      <c r="N642" s="38"/>
      <c r="O642" s="38"/>
      <c r="P642" s="38"/>
      <c r="Q642" s="38"/>
      <c r="R642" s="38"/>
      <c r="S642" s="38"/>
      <c r="T642" s="38"/>
      <c r="U642" s="38"/>
      <c r="V642" s="38"/>
      <c r="W642" s="38"/>
      <c r="X642" s="53"/>
      <c r="Y642" s="42"/>
      <c r="Z642" s="42"/>
      <c r="AA642" s="42"/>
    </row>
    <row r="643" ht="13.75" customHeight="1">
      <c r="A643" s="14" t="s">
        <v>140</v>
      </c>
      <c r="B643" s="56"/>
      <c r="C643" s="57"/>
      <c r="D643" s="57"/>
      <c r="E643" s="57"/>
      <c r="F643" s="57"/>
      <c r="G643" s="57"/>
      <c r="H643" s="58"/>
      <c r="I643" s="54"/>
      <c r="J643" s="59"/>
      <c r="K643" s="38"/>
      <c r="L643" s="38"/>
      <c r="M643" s="38"/>
      <c r="N643" s="38"/>
      <c r="O643" s="38"/>
      <c r="P643" s="38"/>
      <c r="Q643" s="38"/>
      <c r="R643" s="38"/>
      <c r="S643" s="38"/>
      <c r="T643" s="38"/>
      <c r="U643" s="38"/>
      <c r="V643" s="38"/>
      <c r="W643" s="38"/>
      <c r="X643" s="53"/>
      <c r="Y643" s="42"/>
      <c r="Z643" s="42"/>
      <c r="AA643" s="42"/>
    </row>
    <row r="644" ht="13.75" customHeight="1">
      <c r="A644" s="14" t="s">
        <v>140</v>
      </c>
      <c r="B644" s="56"/>
      <c r="C644" s="57"/>
      <c r="D644" s="57"/>
      <c r="E644" s="57"/>
      <c r="F644" s="57"/>
      <c r="G644" s="57"/>
      <c r="H644" s="58"/>
      <c r="I644" s="54"/>
      <c r="J644" s="59"/>
      <c r="K644" s="38"/>
      <c r="L644" s="38"/>
      <c r="M644" s="38"/>
      <c r="N644" s="38"/>
      <c r="O644" s="38"/>
      <c r="P644" s="38"/>
      <c r="Q644" s="38"/>
      <c r="R644" s="38"/>
      <c r="S644" s="38"/>
      <c r="T644" s="38"/>
      <c r="U644" s="38"/>
      <c r="V644" s="38"/>
      <c r="W644" s="38"/>
      <c r="X644" s="53"/>
      <c r="Y644" s="42"/>
      <c r="Z644" s="42"/>
      <c r="AA644" s="42"/>
    </row>
    <row r="645" ht="13.75" customHeight="1">
      <c r="A645" s="14" t="s">
        <v>140</v>
      </c>
      <c r="B645" s="56"/>
      <c r="C645" s="57"/>
      <c r="D645" s="57"/>
      <c r="E645" s="57"/>
      <c r="F645" s="57"/>
      <c r="G645" s="57"/>
      <c r="H645" s="58"/>
      <c r="I645" s="54"/>
      <c r="J645" s="59"/>
      <c r="K645" s="38"/>
      <c r="L645" s="38"/>
      <c r="M645" s="38"/>
      <c r="N645" s="38"/>
      <c r="O645" s="38"/>
      <c r="P645" s="38"/>
      <c r="Q645" s="38"/>
      <c r="R645" s="38"/>
      <c r="S645" s="38"/>
      <c r="T645" s="38"/>
      <c r="U645" s="38"/>
      <c r="V645" s="38"/>
      <c r="W645" s="38"/>
      <c r="X645" s="53"/>
      <c r="Y645" s="42"/>
      <c r="Z645" s="42"/>
      <c r="AA645" s="42"/>
    </row>
    <row r="646" ht="13.75" customHeight="1">
      <c r="A646" s="14" t="s">
        <v>140</v>
      </c>
      <c r="B646" s="56"/>
      <c r="C646" s="57"/>
      <c r="D646" s="57"/>
      <c r="E646" s="57"/>
      <c r="F646" s="57"/>
      <c r="G646" s="57"/>
      <c r="H646" s="58"/>
      <c r="I646" s="54"/>
      <c r="J646" s="59"/>
      <c r="K646" s="38"/>
      <c r="L646" s="38"/>
      <c r="M646" s="38"/>
      <c r="N646" s="38"/>
      <c r="O646" s="38"/>
      <c r="P646" s="38"/>
      <c r="Q646" s="38"/>
      <c r="R646" s="38"/>
      <c r="S646" s="38"/>
      <c r="T646" s="38"/>
      <c r="U646" s="38"/>
      <c r="V646" s="38"/>
      <c r="W646" s="38"/>
      <c r="X646" s="53"/>
      <c r="Y646" s="42"/>
      <c r="Z646" s="42"/>
      <c r="AA646" s="42"/>
    </row>
    <row r="647" ht="13.75" customHeight="1">
      <c r="A647" s="14" t="s">
        <v>140</v>
      </c>
      <c r="B647" s="56"/>
      <c r="C647" s="57"/>
      <c r="D647" s="57"/>
      <c r="E647" s="57"/>
      <c r="F647" s="57"/>
      <c r="G647" s="57"/>
      <c r="H647" s="58"/>
      <c r="I647" s="54"/>
      <c r="J647" s="59"/>
      <c r="K647" s="38"/>
      <c r="L647" s="38"/>
      <c r="M647" s="38"/>
      <c r="N647" s="38"/>
      <c r="O647" s="38"/>
      <c r="P647" s="38"/>
      <c r="Q647" s="38"/>
      <c r="R647" s="38"/>
      <c r="S647" s="38"/>
      <c r="T647" s="38"/>
      <c r="U647" s="38"/>
      <c r="V647" s="38"/>
      <c r="W647" s="38"/>
      <c r="X647" s="53"/>
      <c r="Y647" s="42"/>
      <c r="Z647" s="42"/>
      <c r="AA647" s="42"/>
    </row>
    <row r="648" ht="13.75" customHeight="1">
      <c r="A648" s="14" t="s">
        <v>140</v>
      </c>
      <c r="B648" s="56"/>
      <c r="C648" s="57"/>
      <c r="D648" s="57"/>
      <c r="E648" s="57"/>
      <c r="F648" s="57"/>
      <c r="G648" s="57"/>
      <c r="H648" s="58"/>
      <c r="I648" s="54"/>
      <c r="J648" s="59"/>
      <c r="K648" s="38"/>
      <c r="L648" s="38"/>
      <c r="M648" s="38"/>
      <c r="N648" s="38"/>
      <c r="O648" s="38"/>
      <c r="P648" s="38"/>
      <c r="Q648" s="38"/>
      <c r="R648" s="38"/>
      <c r="S648" s="38"/>
      <c r="T648" s="38"/>
      <c r="U648" s="38"/>
      <c r="V648" s="38"/>
      <c r="W648" s="38"/>
      <c r="X648" s="53"/>
      <c r="Y648" s="42"/>
      <c r="Z648" s="42"/>
      <c r="AA648" s="42"/>
    </row>
    <row r="649" ht="13.75" customHeight="1">
      <c r="A649" s="14" t="s">
        <v>140</v>
      </c>
      <c r="B649" s="56"/>
      <c r="C649" s="57"/>
      <c r="D649" s="57"/>
      <c r="E649" s="57"/>
      <c r="F649" s="57"/>
      <c r="G649" s="57"/>
      <c r="H649" s="58"/>
      <c r="I649" s="54"/>
      <c r="J649" s="59"/>
      <c r="K649" s="38"/>
      <c r="L649" s="38"/>
      <c r="M649" s="38"/>
      <c r="N649" s="38"/>
      <c r="O649" s="38"/>
      <c r="P649" s="38"/>
      <c r="Q649" s="38"/>
      <c r="R649" s="38"/>
      <c r="S649" s="38"/>
      <c r="T649" s="38"/>
      <c r="U649" s="38"/>
      <c r="V649" s="38"/>
      <c r="W649" s="38"/>
      <c r="X649" s="53"/>
      <c r="Y649" s="42"/>
      <c r="Z649" s="42"/>
      <c r="AA649" s="42"/>
    </row>
    <row r="650" ht="13.75" customHeight="1">
      <c r="A650" s="14" t="s">
        <v>140</v>
      </c>
      <c r="B650" s="56"/>
      <c r="C650" s="57"/>
      <c r="D650" s="57"/>
      <c r="E650" s="57"/>
      <c r="F650" s="57"/>
      <c r="G650" s="57"/>
      <c r="H650" s="58"/>
      <c r="I650" s="54"/>
      <c r="J650" s="59"/>
      <c r="K650" s="38"/>
      <c r="L650" s="38"/>
      <c r="M650" s="38"/>
      <c r="N650" s="38"/>
      <c r="O650" s="38"/>
      <c r="P650" s="38"/>
      <c r="Q650" s="38"/>
      <c r="R650" s="38"/>
      <c r="S650" s="38"/>
      <c r="T650" s="38"/>
      <c r="U650" s="38"/>
      <c r="V650" s="38"/>
      <c r="W650" s="38"/>
      <c r="X650" s="53"/>
      <c r="Y650" s="42"/>
      <c r="Z650" s="42"/>
      <c r="AA650" s="42"/>
    </row>
    <row r="651" ht="13.75" customHeight="1">
      <c r="A651" s="14" t="s">
        <v>140</v>
      </c>
      <c r="B651" s="56"/>
      <c r="C651" s="57"/>
      <c r="D651" s="57"/>
      <c r="E651" s="57"/>
      <c r="F651" s="57"/>
      <c r="G651" s="57"/>
      <c r="H651" s="58"/>
      <c r="I651" s="54"/>
      <c r="J651" s="59"/>
      <c r="K651" s="38"/>
      <c r="L651" s="38"/>
      <c r="M651" s="38"/>
      <c r="N651" s="38"/>
      <c r="O651" s="38"/>
      <c r="P651" s="38"/>
      <c r="Q651" s="38"/>
      <c r="R651" s="38"/>
      <c r="S651" s="38"/>
      <c r="T651" s="38"/>
      <c r="U651" s="38"/>
      <c r="V651" s="38"/>
      <c r="W651" s="38"/>
      <c r="X651" s="53"/>
      <c r="Y651" s="42"/>
      <c r="Z651" s="42"/>
      <c r="AA651" s="42"/>
    </row>
    <row r="652" ht="13.75" customHeight="1">
      <c r="A652" s="14" t="s">
        <v>140</v>
      </c>
      <c r="B652" s="56"/>
      <c r="C652" s="57"/>
      <c r="D652" s="57"/>
      <c r="E652" s="57"/>
      <c r="F652" s="57"/>
      <c r="G652" s="57"/>
      <c r="H652" s="58"/>
      <c r="I652" s="54"/>
      <c r="J652" s="59"/>
      <c r="K652" s="38"/>
      <c r="L652" s="38"/>
      <c r="M652" s="38"/>
      <c r="N652" s="38"/>
      <c r="O652" s="38"/>
      <c r="P652" s="38"/>
      <c r="Q652" s="38"/>
      <c r="R652" s="38"/>
      <c r="S652" s="38"/>
      <c r="T652" s="38"/>
      <c r="U652" s="38"/>
      <c r="V652" s="38"/>
      <c r="W652" s="38"/>
      <c r="X652" s="53"/>
      <c r="Y652" s="42"/>
      <c r="Z652" s="42"/>
      <c r="AA652" s="42"/>
    </row>
    <row r="653" ht="13.75" customHeight="1">
      <c r="A653" s="14" t="s">
        <v>140</v>
      </c>
      <c r="B653" s="56"/>
      <c r="C653" s="57"/>
      <c r="D653" s="57"/>
      <c r="E653" s="57"/>
      <c r="F653" s="57"/>
      <c r="G653" s="57"/>
      <c r="H653" s="58"/>
      <c r="I653" s="54"/>
      <c r="J653" s="59"/>
      <c r="K653" s="38"/>
      <c r="L653" s="38"/>
      <c r="M653" s="38"/>
      <c r="N653" s="38"/>
      <c r="O653" s="38"/>
      <c r="P653" s="38"/>
      <c r="Q653" s="38"/>
      <c r="R653" s="38"/>
      <c r="S653" s="38"/>
      <c r="T653" s="38"/>
      <c r="U653" s="38"/>
      <c r="V653" s="38"/>
      <c r="W653" s="38"/>
      <c r="X653" s="53"/>
      <c r="Y653" s="42"/>
      <c r="Z653" s="42"/>
      <c r="AA653" s="42"/>
    </row>
    <row r="654" ht="13.75" customHeight="1">
      <c r="A654" s="14" t="s">
        <v>140</v>
      </c>
      <c r="B654" s="56"/>
      <c r="C654" s="57"/>
      <c r="D654" s="57"/>
      <c r="E654" s="57"/>
      <c r="F654" s="57"/>
      <c r="G654" s="57"/>
      <c r="H654" s="58"/>
      <c r="I654" s="54"/>
      <c r="J654" s="59"/>
      <c r="K654" s="38"/>
      <c r="L654" s="38"/>
      <c r="M654" s="38"/>
      <c r="N654" s="38"/>
      <c r="O654" s="38"/>
      <c r="P654" s="38"/>
      <c r="Q654" s="38"/>
      <c r="R654" s="38"/>
      <c r="S654" s="38"/>
      <c r="T654" s="38"/>
      <c r="U654" s="38"/>
      <c r="V654" s="38"/>
      <c r="W654" s="38"/>
      <c r="X654" s="53"/>
      <c r="Y654" s="42"/>
      <c r="Z654" s="42"/>
      <c r="AA654" s="42"/>
    </row>
    <row r="655" ht="13.75" customHeight="1">
      <c r="A655" s="14" t="s">
        <v>140</v>
      </c>
      <c r="B655" s="56"/>
      <c r="C655" s="57"/>
      <c r="D655" s="57"/>
      <c r="E655" s="57"/>
      <c r="F655" s="57"/>
      <c r="G655" s="57"/>
      <c r="H655" s="58"/>
      <c r="I655" s="54"/>
      <c r="J655" s="59"/>
      <c r="K655" s="38"/>
      <c r="L655" s="38"/>
      <c r="M655" s="38"/>
      <c r="N655" s="38"/>
      <c r="O655" s="38"/>
      <c r="P655" s="38"/>
      <c r="Q655" s="38"/>
      <c r="R655" s="38"/>
      <c r="S655" s="38"/>
      <c r="T655" s="38"/>
      <c r="U655" s="38"/>
      <c r="V655" s="38"/>
      <c r="W655" s="38"/>
      <c r="X655" s="53"/>
      <c r="Y655" s="42"/>
      <c r="Z655" s="42"/>
      <c r="AA655" s="42"/>
    </row>
    <row r="656" ht="13.75" customHeight="1">
      <c r="A656" s="14" t="s">
        <v>140</v>
      </c>
      <c r="B656" s="56"/>
      <c r="C656" s="57"/>
      <c r="D656" s="57"/>
      <c r="E656" s="57"/>
      <c r="F656" s="57"/>
      <c r="G656" s="57"/>
      <c r="H656" s="58"/>
      <c r="I656" s="54"/>
      <c r="J656" s="59"/>
      <c r="K656" s="38"/>
      <c r="L656" s="38"/>
      <c r="M656" s="38"/>
      <c r="N656" s="38"/>
      <c r="O656" s="38"/>
      <c r="P656" s="38"/>
      <c r="Q656" s="38"/>
      <c r="R656" s="38"/>
      <c r="S656" s="38"/>
      <c r="T656" s="38"/>
      <c r="U656" s="38"/>
      <c r="V656" s="38"/>
      <c r="W656" s="38"/>
      <c r="X656" s="53"/>
      <c r="Y656" s="42"/>
      <c r="Z656" s="42"/>
      <c r="AA656" s="42"/>
    </row>
    <row r="657" ht="13.75" customHeight="1">
      <c r="A657" s="14" t="s">
        <v>140</v>
      </c>
      <c r="B657" s="56"/>
      <c r="C657" s="57"/>
      <c r="D657" s="57"/>
      <c r="E657" s="57"/>
      <c r="F657" s="57"/>
      <c r="G657" s="57"/>
      <c r="H657" s="58"/>
      <c r="I657" s="54"/>
      <c r="J657" s="59"/>
      <c r="K657" s="38"/>
      <c r="L657" s="38"/>
      <c r="M657" s="38"/>
      <c r="N657" s="38"/>
      <c r="O657" s="38"/>
      <c r="P657" s="38"/>
      <c r="Q657" s="38"/>
      <c r="R657" s="38"/>
      <c r="S657" s="38"/>
      <c r="T657" s="38"/>
      <c r="U657" s="38"/>
      <c r="V657" s="38"/>
      <c r="W657" s="38"/>
      <c r="X657" s="53"/>
      <c r="Y657" s="42"/>
      <c r="Z657" s="42"/>
      <c r="AA657" s="42"/>
    </row>
    <row r="658" ht="13.75" customHeight="1">
      <c r="A658" s="14" t="s">
        <v>140</v>
      </c>
      <c r="B658" s="56"/>
      <c r="C658" s="57"/>
      <c r="D658" s="57"/>
      <c r="E658" s="57"/>
      <c r="F658" s="57"/>
      <c r="G658" s="57"/>
      <c r="H658" s="58"/>
      <c r="I658" s="54"/>
      <c r="J658" s="59"/>
      <c r="K658" s="38"/>
      <c r="L658" s="38"/>
      <c r="M658" s="38"/>
      <c r="N658" s="38"/>
      <c r="O658" s="38"/>
      <c r="P658" s="38"/>
      <c r="Q658" s="38"/>
      <c r="R658" s="38"/>
      <c r="S658" s="38"/>
      <c r="T658" s="38"/>
      <c r="U658" s="38"/>
      <c r="V658" s="38"/>
      <c r="W658" s="38"/>
      <c r="X658" s="53"/>
      <c r="Y658" s="42"/>
      <c r="Z658" s="42"/>
      <c r="AA658" s="42"/>
    </row>
    <row r="659" ht="13.75" customHeight="1">
      <c r="A659" s="14" t="s">
        <v>140</v>
      </c>
      <c r="B659" s="56"/>
      <c r="C659" s="57"/>
      <c r="D659" s="57"/>
      <c r="E659" s="57"/>
      <c r="F659" s="57"/>
      <c r="G659" s="57"/>
      <c r="H659" s="58"/>
      <c r="I659" s="54"/>
      <c r="J659" s="59"/>
      <c r="K659" s="38"/>
      <c r="L659" s="38"/>
      <c r="M659" s="38"/>
      <c r="N659" s="38"/>
      <c r="O659" s="38"/>
      <c r="P659" s="38"/>
      <c r="Q659" s="38"/>
      <c r="R659" s="38"/>
      <c r="S659" s="38"/>
      <c r="T659" s="38"/>
      <c r="U659" s="38"/>
      <c r="V659" s="38"/>
      <c r="W659" s="38"/>
      <c r="X659" s="53"/>
      <c r="Y659" s="42"/>
      <c r="Z659" s="42"/>
      <c r="AA659" s="42"/>
    </row>
    <row r="660" ht="13.75" customHeight="1">
      <c r="A660" s="14" t="s">
        <v>140</v>
      </c>
      <c r="B660" s="56"/>
      <c r="C660" s="57"/>
      <c r="D660" s="57"/>
      <c r="E660" s="57"/>
      <c r="F660" s="57"/>
      <c r="G660" s="57"/>
      <c r="H660" s="58"/>
      <c r="I660" s="54"/>
      <c r="J660" s="59"/>
      <c r="K660" s="38"/>
      <c r="L660" s="38"/>
      <c r="M660" s="38"/>
      <c r="N660" s="38"/>
      <c r="O660" s="38"/>
      <c r="P660" s="38"/>
      <c r="Q660" s="38"/>
      <c r="R660" s="38"/>
      <c r="S660" s="38"/>
      <c r="T660" s="38"/>
      <c r="U660" s="38"/>
      <c r="V660" s="38"/>
      <c r="W660" s="38"/>
      <c r="X660" s="53"/>
      <c r="Y660" s="42"/>
      <c r="Z660" s="42"/>
      <c r="AA660" s="42"/>
    </row>
    <row r="661" ht="13.75" customHeight="1">
      <c r="A661" s="14" t="s">
        <v>140</v>
      </c>
      <c r="B661" s="56"/>
      <c r="C661" s="57"/>
      <c r="D661" s="57"/>
      <c r="E661" s="57"/>
      <c r="F661" s="57"/>
      <c r="G661" s="57"/>
      <c r="H661" s="58"/>
      <c r="I661" s="54"/>
      <c r="J661" s="59"/>
      <c r="K661" s="38"/>
      <c r="L661" s="38"/>
      <c r="M661" s="38"/>
      <c r="N661" s="38"/>
      <c r="O661" s="38"/>
      <c r="P661" s="38"/>
      <c r="Q661" s="38"/>
      <c r="R661" s="38"/>
      <c r="S661" s="38"/>
      <c r="T661" s="38"/>
      <c r="U661" s="38"/>
      <c r="V661" s="38"/>
      <c r="W661" s="38"/>
      <c r="X661" s="53"/>
      <c r="Y661" s="42"/>
      <c r="Z661" s="42"/>
      <c r="AA661" s="42"/>
    </row>
    <row r="662" ht="13.75" customHeight="1">
      <c r="A662" s="14" t="s">
        <v>140</v>
      </c>
      <c r="B662" s="56"/>
      <c r="C662" s="57"/>
      <c r="D662" s="57"/>
      <c r="E662" s="57"/>
      <c r="F662" s="57"/>
      <c r="G662" s="57"/>
      <c r="H662" s="58"/>
      <c r="I662" s="54"/>
      <c r="J662" s="59"/>
      <c r="K662" s="38"/>
      <c r="L662" s="38"/>
      <c r="M662" s="38"/>
      <c r="N662" s="38"/>
      <c r="O662" s="38"/>
      <c r="P662" s="38"/>
      <c r="Q662" s="38"/>
      <c r="R662" s="38"/>
      <c r="S662" s="38"/>
      <c r="T662" s="38"/>
      <c r="U662" s="38"/>
      <c r="V662" s="38"/>
      <c r="W662" s="38"/>
      <c r="X662" s="53"/>
      <c r="Y662" s="42"/>
      <c r="Z662" s="42"/>
      <c r="AA662" s="42"/>
    </row>
    <row r="663" ht="13.75" customHeight="1">
      <c r="A663" s="14" t="s">
        <v>140</v>
      </c>
      <c r="B663" s="56"/>
      <c r="C663" s="57"/>
      <c r="D663" s="57"/>
      <c r="E663" s="57"/>
      <c r="F663" s="57"/>
      <c r="G663" s="57"/>
      <c r="H663" s="58"/>
      <c r="I663" s="54"/>
      <c r="J663" s="59"/>
      <c r="K663" s="38"/>
      <c r="L663" s="38"/>
      <c r="M663" s="38"/>
      <c r="N663" s="38"/>
      <c r="O663" s="38"/>
      <c r="P663" s="38"/>
      <c r="Q663" s="38"/>
      <c r="R663" s="38"/>
      <c r="S663" s="38"/>
      <c r="T663" s="38"/>
      <c r="U663" s="38"/>
      <c r="V663" s="38"/>
      <c r="W663" s="38"/>
      <c r="X663" s="53"/>
      <c r="Y663" s="42"/>
      <c r="Z663" s="42"/>
      <c r="AA663" s="42"/>
    </row>
    <row r="664" ht="13.75" customHeight="1">
      <c r="A664" s="14" t="s">
        <v>140</v>
      </c>
      <c r="B664" s="56"/>
      <c r="C664" s="57"/>
      <c r="D664" s="57"/>
      <c r="E664" s="57"/>
      <c r="F664" s="57"/>
      <c r="G664" s="57"/>
      <c r="H664" s="58"/>
      <c r="I664" s="54"/>
      <c r="J664" s="59"/>
      <c r="K664" s="38"/>
      <c r="L664" s="38"/>
      <c r="M664" s="38"/>
      <c r="N664" s="38"/>
      <c r="O664" s="38"/>
      <c r="P664" s="38"/>
      <c r="Q664" s="38"/>
      <c r="R664" s="38"/>
      <c r="S664" s="38"/>
      <c r="T664" s="38"/>
      <c r="U664" s="38"/>
      <c r="V664" s="38"/>
      <c r="W664" s="38"/>
      <c r="X664" s="53"/>
      <c r="Y664" s="42"/>
      <c r="Z664" s="42"/>
      <c r="AA664" s="42"/>
    </row>
    <row r="665" ht="13.75" customHeight="1">
      <c r="A665" s="14" t="s">
        <v>140</v>
      </c>
      <c r="B665" s="56"/>
      <c r="C665" s="57"/>
      <c r="D665" s="57"/>
      <c r="E665" s="57"/>
      <c r="F665" s="57"/>
      <c r="G665" s="57"/>
      <c r="H665" s="58"/>
      <c r="I665" s="54"/>
      <c r="J665" s="59"/>
      <c r="K665" s="38"/>
      <c r="L665" s="38"/>
      <c r="M665" s="38"/>
      <c r="N665" s="38"/>
      <c r="O665" s="38"/>
      <c r="P665" s="38"/>
      <c r="Q665" s="38"/>
      <c r="R665" s="38"/>
      <c r="S665" s="38"/>
      <c r="T665" s="38"/>
      <c r="U665" s="38"/>
      <c r="V665" s="38"/>
      <c r="W665" s="38"/>
      <c r="X665" s="53"/>
      <c r="Y665" s="42"/>
      <c r="Z665" s="42"/>
      <c r="AA665" s="42"/>
    </row>
    <row r="666" ht="13.75" customHeight="1">
      <c r="A666" s="14" t="s">
        <v>140</v>
      </c>
      <c r="B666" s="56"/>
      <c r="C666" s="57"/>
      <c r="D666" s="57"/>
      <c r="E666" s="57"/>
      <c r="F666" s="57"/>
      <c r="G666" s="57"/>
      <c r="H666" s="58"/>
      <c r="I666" s="54"/>
      <c r="J666" s="59"/>
      <c r="K666" s="38"/>
      <c r="L666" s="38"/>
      <c r="M666" s="38"/>
      <c r="N666" s="38"/>
      <c r="O666" s="38"/>
      <c r="P666" s="38"/>
      <c r="Q666" s="38"/>
      <c r="R666" s="38"/>
      <c r="S666" s="38"/>
      <c r="T666" s="38"/>
      <c r="U666" s="38"/>
      <c r="V666" s="38"/>
      <c r="W666" s="38"/>
      <c r="X666" s="53"/>
      <c r="Y666" s="42"/>
      <c r="Z666" s="42"/>
      <c r="AA666" s="42"/>
    </row>
    <row r="667" ht="13.75" customHeight="1">
      <c r="A667" s="14" t="s">
        <v>140</v>
      </c>
      <c r="B667" s="56"/>
      <c r="C667" s="57"/>
      <c r="D667" s="57"/>
      <c r="E667" s="57"/>
      <c r="F667" s="57"/>
      <c r="G667" s="57"/>
      <c r="H667" s="58"/>
      <c r="I667" s="54"/>
      <c r="J667" s="59"/>
      <c r="K667" s="38"/>
      <c r="L667" s="38"/>
      <c r="M667" s="38"/>
      <c r="N667" s="38"/>
      <c r="O667" s="38"/>
      <c r="P667" s="38"/>
      <c r="Q667" s="38"/>
      <c r="R667" s="38"/>
      <c r="S667" s="38"/>
      <c r="T667" s="38"/>
      <c r="U667" s="38"/>
      <c r="V667" s="38"/>
      <c r="W667" s="38"/>
      <c r="X667" s="53"/>
      <c r="Y667" s="42"/>
      <c r="Z667" s="42"/>
      <c r="AA667" s="42"/>
    </row>
    <row r="668" ht="13.75" customHeight="1">
      <c r="A668" s="14" t="s">
        <v>140</v>
      </c>
      <c r="B668" s="56"/>
      <c r="C668" s="57"/>
      <c r="D668" s="57"/>
      <c r="E668" s="57"/>
      <c r="F668" s="57"/>
      <c r="G668" s="57"/>
      <c r="H668" s="58"/>
      <c r="I668" s="54"/>
      <c r="J668" s="59"/>
      <c r="K668" s="38"/>
      <c r="L668" s="38"/>
      <c r="M668" s="38"/>
      <c r="N668" s="38"/>
      <c r="O668" s="38"/>
      <c r="P668" s="38"/>
      <c r="Q668" s="38"/>
      <c r="R668" s="38"/>
      <c r="S668" s="38"/>
      <c r="T668" s="38"/>
      <c r="U668" s="38"/>
      <c r="V668" s="38"/>
      <c r="W668" s="38"/>
      <c r="X668" s="53"/>
      <c r="Y668" s="42"/>
      <c r="Z668" s="42"/>
      <c r="AA668" s="42"/>
    </row>
    <row r="669" ht="13.75" customHeight="1">
      <c r="A669" s="14" t="s">
        <v>140</v>
      </c>
      <c r="B669" s="56"/>
      <c r="C669" s="57"/>
      <c r="D669" s="57"/>
      <c r="E669" s="57"/>
      <c r="F669" s="57"/>
      <c r="G669" s="57"/>
      <c r="H669" s="58"/>
      <c r="I669" s="54"/>
      <c r="J669" s="59"/>
      <c r="K669" s="38"/>
      <c r="L669" s="38"/>
      <c r="M669" s="38"/>
      <c r="N669" s="38"/>
      <c r="O669" s="38"/>
      <c r="P669" s="38"/>
      <c r="Q669" s="38"/>
      <c r="R669" s="38"/>
      <c r="S669" s="38"/>
      <c r="T669" s="38"/>
      <c r="U669" s="38"/>
      <c r="V669" s="38"/>
      <c r="W669" s="38"/>
      <c r="X669" s="53"/>
      <c r="Y669" s="42"/>
      <c r="Z669" s="42"/>
      <c r="AA669" s="42"/>
    </row>
    <row r="670" ht="13.75" customHeight="1">
      <c r="A670" s="14" t="s">
        <v>140</v>
      </c>
      <c r="B670" s="56"/>
      <c r="C670" s="57"/>
      <c r="D670" s="57"/>
      <c r="E670" s="57"/>
      <c r="F670" s="57"/>
      <c r="G670" s="57"/>
      <c r="H670" s="58"/>
      <c r="I670" s="54"/>
      <c r="J670" s="59"/>
      <c r="K670" s="38"/>
      <c r="L670" s="38"/>
      <c r="M670" s="38"/>
      <c r="N670" s="38"/>
      <c r="O670" s="38"/>
      <c r="P670" s="38"/>
      <c r="Q670" s="38"/>
      <c r="R670" s="38"/>
      <c r="S670" s="38"/>
      <c r="T670" s="38"/>
      <c r="U670" s="38"/>
      <c r="V670" s="38"/>
      <c r="W670" s="38"/>
      <c r="X670" s="53"/>
      <c r="Y670" s="42"/>
      <c r="Z670" s="42"/>
      <c r="AA670" s="42"/>
    </row>
    <row r="671" ht="13.75" customHeight="1">
      <c r="A671" s="14" t="s">
        <v>140</v>
      </c>
      <c r="B671" s="56"/>
      <c r="C671" s="57"/>
      <c r="D671" s="57"/>
      <c r="E671" s="57"/>
      <c r="F671" s="57"/>
      <c r="G671" s="57"/>
      <c r="H671" s="58"/>
      <c r="I671" s="54"/>
      <c r="J671" s="59"/>
      <c r="K671" s="38"/>
      <c r="L671" s="38"/>
      <c r="M671" s="38"/>
      <c r="N671" s="38"/>
      <c r="O671" s="38"/>
      <c r="P671" s="38"/>
      <c r="Q671" s="38"/>
      <c r="R671" s="38"/>
      <c r="S671" s="38"/>
      <c r="T671" s="38"/>
      <c r="U671" s="38"/>
      <c r="V671" s="38"/>
      <c r="W671" s="38"/>
      <c r="X671" s="53"/>
      <c r="Y671" s="42"/>
      <c r="Z671" s="42"/>
      <c r="AA671" s="42"/>
    </row>
    <row r="672" ht="13.75" customHeight="1">
      <c r="A672" s="14" t="s">
        <v>140</v>
      </c>
      <c r="B672" s="56"/>
      <c r="C672" s="57"/>
      <c r="D672" s="57"/>
      <c r="E672" s="57"/>
      <c r="F672" s="57"/>
      <c r="G672" s="57"/>
      <c r="H672" s="58"/>
      <c r="I672" s="54"/>
      <c r="J672" s="59"/>
      <c r="K672" s="38"/>
      <c r="L672" s="38"/>
      <c r="M672" s="38"/>
      <c r="N672" s="38"/>
      <c r="O672" s="38"/>
      <c r="P672" s="38"/>
      <c r="Q672" s="38"/>
      <c r="R672" s="38"/>
      <c r="S672" s="38"/>
      <c r="T672" s="38"/>
      <c r="U672" s="38"/>
      <c r="V672" s="38"/>
      <c r="W672" s="38"/>
      <c r="X672" s="53"/>
      <c r="Y672" s="42"/>
      <c r="Z672" s="42"/>
      <c r="AA672" s="42"/>
    </row>
    <row r="673" ht="13.75" customHeight="1">
      <c r="A673" s="14" t="s">
        <v>140</v>
      </c>
      <c r="B673" s="56"/>
      <c r="C673" s="57"/>
      <c r="D673" s="57"/>
      <c r="E673" s="57"/>
      <c r="F673" s="57"/>
      <c r="G673" s="57"/>
      <c r="H673" s="58"/>
      <c r="I673" s="54"/>
      <c r="J673" s="59"/>
      <c r="K673" s="38"/>
      <c r="L673" s="38"/>
      <c r="M673" s="38"/>
      <c r="N673" s="38"/>
      <c r="O673" s="38"/>
      <c r="P673" s="38"/>
      <c r="Q673" s="38"/>
      <c r="R673" s="38"/>
      <c r="S673" s="38"/>
      <c r="T673" s="38"/>
      <c r="U673" s="38"/>
      <c r="V673" s="38"/>
      <c r="W673" s="38"/>
      <c r="X673" s="53"/>
      <c r="Y673" s="42"/>
      <c r="Z673" s="42"/>
      <c r="AA673" s="42"/>
    </row>
    <row r="674" ht="13.75" customHeight="1">
      <c r="A674" s="14" t="s">
        <v>140</v>
      </c>
      <c r="B674" s="56"/>
      <c r="C674" s="57"/>
      <c r="D674" s="57"/>
      <c r="E674" s="57"/>
      <c r="F674" s="57"/>
      <c r="G674" s="57"/>
      <c r="H674" s="58"/>
      <c r="I674" s="54"/>
      <c r="J674" s="59"/>
      <c r="K674" s="38"/>
      <c r="L674" s="38"/>
      <c r="M674" s="38"/>
      <c r="N674" s="38"/>
      <c r="O674" s="38"/>
      <c r="P674" s="38"/>
      <c r="Q674" s="38"/>
      <c r="R674" s="38"/>
      <c r="S674" s="38"/>
      <c r="T674" s="38"/>
      <c r="U674" s="38"/>
      <c r="V674" s="38"/>
      <c r="W674" s="38"/>
      <c r="X674" s="53"/>
      <c r="Y674" s="42"/>
      <c r="Z674" s="42"/>
      <c r="AA674" s="42"/>
    </row>
    <row r="675" ht="13.75" customHeight="1">
      <c r="A675" s="14" t="s">
        <v>140</v>
      </c>
      <c r="B675" s="56"/>
      <c r="C675" s="57"/>
      <c r="D675" s="57"/>
      <c r="E675" s="57"/>
      <c r="F675" s="57"/>
      <c r="G675" s="57"/>
      <c r="H675" s="58"/>
      <c r="I675" s="54"/>
      <c r="J675" s="59"/>
      <c r="K675" s="38"/>
      <c r="L675" s="38"/>
      <c r="M675" s="38"/>
      <c r="N675" s="38"/>
      <c r="O675" s="38"/>
      <c r="P675" s="38"/>
      <c r="Q675" s="38"/>
      <c r="R675" s="38"/>
      <c r="S675" s="38"/>
      <c r="T675" s="38"/>
      <c r="U675" s="38"/>
      <c r="V675" s="38"/>
      <c r="W675" s="38"/>
      <c r="X675" s="53"/>
      <c r="Y675" s="42"/>
      <c r="Z675" s="42"/>
      <c r="AA675" s="42"/>
    </row>
    <row r="676" ht="13.75" customHeight="1">
      <c r="A676" s="14" t="s">
        <v>140</v>
      </c>
      <c r="B676" s="56"/>
      <c r="C676" s="57"/>
      <c r="D676" s="57"/>
      <c r="E676" s="57"/>
      <c r="F676" s="57"/>
      <c r="G676" s="57"/>
      <c r="H676" s="58"/>
      <c r="I676" s="54"/>
      <c r="J676" s="59"/>
      <c r="K676" s="38"/>
      <c r="L676" s="38"/>
      <c r="M676" s="38"/>
      <c r="N676" s="38"/>
      <c r="O676" s="38"/>
      <c r="P676" s="38"/>
      <c r="Q676" s="38"/>
      <c r="R676" s="38"/>
      <c r="S676" s="38"/>
      <c r="T676" s="38"/>
      <c r="U676" s="38"/>
      <c r="V676" s="38"/>
      <c r="W676" s="38"/>
      <c r="X676" s="53"/>
      <c r="Y676" s="42"/>
      <c r="Z676" s="42"/>
      <c r="AA676" s="42"/>
    </row>
    <row r="677" ht="13.75" customHeight="1">
      <c r="A677" s="14" t="s">
        <v>140</v>
      </c>
      <c r="B677" s="56"/>
      <c r="C677" s="57"/>
      <c r="D677" s="57"/>
      <c r="E677" s="57"/>
      <c r="F677" s="57"/>
      <c r="G677" s="57"/>
      <c r="H677" s="58"/>
      <c r="I677" s="54"/>
      <c r="J677" s="59"/>
      <c r="K677" s="38"/>
      <c r="L677" s="38"/>
      <c r="M677" s="38"/>
      <c r="N677" s="38"/>
      <c r="O677" s="38"/>
      <c r="P677" s="38"/>
      <c r="Q677" s="38"/>
      <c r="R677" s="38"/>
      <c r="S677" s="38"/>
      <c r="T677" s="38"/>
      <c r="U677" s="38"/>
      <c r="V677" s="38"/>
      <c r="W677" s="38"/>
      <c r="X677" s="53"/>
      <c r="Y677" s="42"/>
      <c r="Z677" s="42"/>
      <c r="AA677" s="42"/>
    </row>
    <row r="678" ht="13.75" customHeight="1">
      <c r="A678" s="14" t="s">
        <v>140</v>
      </c>
      <c r="B678" s="56"/>
      <c r="C678" s="57"/>
      <c r="D678" s="57"/>
      <c r="E678" s="57"/>
      <c r="F678" s="57"/>
      <c r="G678" s="57"/>
      <c r="H678" s="58"/>
      <c r="I678" s="54"/>
      <c r="J678" s="59"/>
      <c r="K678" s="38"/>
      <c r="L678" s="38"/>
      <c r="M678" s="38"/>
      <c r="N678" s="38"/>
      <c r="O678" s="38"/>
      <c r="P678" s="38"/>
      <c r="Q678" s="38"/>
      <c r="R678" s="38"/>
      <c r="S678" s="38"/>
      <c r="T678" s="38"/>
      <c r="U678" s="38"/>
      <c r="V678" s="38"/>
      <c r="W678" s="38"/>
      <c r="X678" s="53"/>
      <c r="Y678" s="42"/>
      <c r="Z678" s="42"/>
      <c r="AA678" s="42"/>
    </row>
    <row r="679" ht="13.75" customHeight="1">
      <c r="A679" s="14" t="s">
        <v>140</v>
      </c>
      <c r="B679" s="56"/>
      <c r="C679" s="57"/>
      <c r="D679" s="57"/>
      <c r="E679" s="57"/>
      <c r="F679" s="57"/>
      <c r="G679" s="57"/>
      <c r="H679" s="58"/>
      <c r="I679" s="54"/>
      <c r="J679" s="59"/>
      <c r="K679" s="38"/>
      <c r="L679" s="38"/>
      <c r="M679" s="38"/>
      <c r="N679" s="38"/>
      <c r="O679" s="38"/>
      <c r="P679" s="38"/>
      <c r="Q679" s="38"/>
      <c r="R679" s="38"/>
      <c r="S679" s="38"/>
      <c r="T679" s="38"/>
      <c r="U679" s="38"/>
      <c r="V679" s="38"/>
      <c r="W679" s="38"/>
      <c r="X679" s="53"/>
      <c r="Y679" s="42"/>
      <c r="Z679" s="42"/>
      <c r="AA679" s="42"/>
    </row>
    <row r="680" ht="13.75" customHeight="1">
      <c r="A680" s="14" t="s">
        <v>140</v>
      </c>
      <c r="B680" s="56"/>
      <c r="C680" s="57"/>
      <c r="D680" s="57"/>
      <c r="E680" s="57"/>
      <c r="F680" s="57"/>
      <c r="G680" s="57"/>
      <c r="H680" s="58"/>
      <c r="I680" s="54"/>
      <c r="J680" s="59"/>
      <c r="K680" s="38"/>
      <c r="L680" s="38"/>
      <c r="M680" s="38"/>
      <c r="N680" s="38"/>
      <c r="O680" s="38"/>
      <c r="P680" s="38"/>
      <c r="Q680" s="38"/>
      <c r="R680" s="38"/>
      <c r="S680" s="38"/>
      <c r="T680" s="38"/>
      <c r="U680" s="38"/>
      <c r="V680" s="38"/>
      <c r="W680" s="38"/>
      <c r="X680" s="53"/>
      <c r="Y680" s="42"/>
      <c r="Z680" s="42"/>
      <c r="AA680" s="42"/>
    </row>
    <row r="681" ht="13.75" customHeight="1">
      <c r="A681" s="14" t="s">
        <v>140</v>
      </c>
      <c r="B681" s="56"/>
      <c r="C681" s="57"/>
      <c r="D681" s="57"/>
      <c r="E681" s="57"/>
      <c r="F681" s="57"/>
      <c r="G681" s="57"/>
      <c r="H681" s="58"/>
      <c r="I681" s="54"/>
      <c r="J681" s="59"/>
      <c r="K681" s="38"/>
      <c r="L681" s="38"/>
      <c r="M681" s="38"/>
      <c r="N681" s="38"/>
      <c r="O681" s="38"/>
      <c r="P681" s="38"/>
      <c r="Q681" s="38"/>
      <c r="R681" s="38"/>
      <c r="S681" s="38"/>
      <c r="T681" s="38"/>
      <c r="U681" s="38"/>
      <c r="V681" s="38"/>
      <c r="W681" s="38"/>
      <c r="X681" s="53"/>
      <c r="Y681" s="42"/>
      <c r="Z681" s="42"/>
      <c r="AA681" s="42"/>
    </row>
    <row r="682" ht="13.75" customHeight="1">
      <c r="A682" s="14" t="s">
        <v>140</v>
      </c>
      <c r="B682" s="56"/>
      <c r="C682" s="57"/>
      <c r="D682" s="57"/>
      <c r="E682" s="57"/>
      <c r="F682" s="57"/>
      <c r="G682" s="57"/>
      <c r="H682" s="58"/>
      <c r="I682" s="54"/>
      <c r="J682" s="59"/>
      <c r="K682" s="38"/>
      <c r="L682" s="38"/>
      <c r="M682" s="38"/>
      <c r="N682" s="38"/>
      <c r="O682" s="38"/>
      <c r="P682" s="38"/>
      <c r="Q682" s="38"/>
      <c r="R682" s="38"/>
      <c r="S682" s="38"/>
      <c r="T682" s="38"/>
      <c r="U682" s="38"/>
      <c r="V682" s="38"/>
      <c r="W682" s="38"/>
      <c r="X682" s="53"/>
      <c r="Y682" s="42"/>
      <c r="Z682" s="42"/>
      <c r="AA682" s="42"/>
    </row>
    <row r="683" ht="13.75" customHeight="1">
      <c r="A683" s="14" t="s">
        <v>140</v>
      </c>
      <c r="B683" s="56"/>
      <c r="C683" s="57"/>
      <c r="D683" s="57"/>
      <c r="E683" s="57"/>
      <c r="F683" s="57"/>
      <c r="G683" s="57"/>
      <c r="H683" s="58"/>
      <c r="I683" s="54"/>
      <c r="J683" s="59"/>
      <c r="K683" s="38"/>
      <c r="L683" s="38"/>
      <c r="M683" s="38"/>
      <c r="N683" s="38"/>
      <c r="O683" s="38"/>
      <c r="P683" s="38"/>
      <c r="Q683" s="38"/>
      <c r="R683" s="38"/>
      <c r="S683" s="38"/>
      <c r="T683" s="38"/>
      <c r="U683" s="38"/>
      <c r="V683" s="38"/>
      <c r="W683" s="38"/>
      <c r="X683" s="53"/>
      <c r="Y683" s="42"/>
      <c r="Z683" s="42"/>
      <c r="AA683" s="42"/>
    </row>
    <row r="684" ht="13.75" customHeight="1">
      <c r="A684" s="14" t="s">
        <v>140</v>
      </c>
      <c r="B684" s="56"/>
      <c r="C684" s="57"/>
      <c r="D684" s="57"/>
      <c r="E684" s="57"/>
      <c r="F684" s="57"/>
      <c r="G684" s="57"/>
      <c r="H684" s="58"/>
      <c r="I684" s="54"/>
      <c r="J684" s="59"/>
      <c r="K684" s="38"/>
      <c r="L684" s="38"/>
      <c r="M684" s="38"/>
      <c r="N684" s="38"/>
      <c r="O684" s="38"/>
      <c r="P684" s="38"/>
      <c r="Q684" s="38"/>
      <c r="R684" s="38"/>
      <c r="S684" s="38"/>
      <c r="T684" s="38"/>
      <c r="U684" s="38"/>
      <c r="V684" s="38"/>
      <c r="W684" s="38"/>
      <c r="X684" s="53"/>
      <c r="Y684" s="42"/>
      <c r="Z684" s="42"/>
      <c r="AA684" s="42"/>
    </row>
    <row r="685" ht="13.75" customHeight="1">
      <c r="A685" s="14" t="s">
        <v>140</v>
      </c>
      <c r="B685" s="56"/>
      <c r="C685" s="57"/>
      <c r="D685" s="57"/>
      <c r="E685" s="57"/>
      <c r="F685" s="57"/>
      <c r="G685" s="57"/>
      <c r="H685" s="58"/>
      <c r="I685" s="54"/>
      <c r="J685" s="59"/>
      <c r="K685" s="38"/>
      <c r="L685" s="38"/>
      <c r="M685" s="38"/>
      <c r="N685" s="38"/>
      <c r="O685" s="38"/>
      <c r="P685" s="38"/>
      <c r="Q685" s="38"/>
      <c r="R685" s="38"/>
      <c r="S685" s="38"/>
      <c r="T685" s="38"/>
      <c r="U685" s="38"/>
      <c r="V685" s="38"/>
      <c r="W685" s="38"/>
      <c r="X685" s="53"/>
      <c r="Y685" s="42"/>
      <c r="Z685" s="42"/>
      <c r="AA685" s="42"/>
    </row>
    <row r="686" ht="13.75" customHeight="1">
      <c r="A686" s="14" t="s">
        <v>140</v>
      </c>
      <c r="B686" s="56"/>
      <c r="C686" s="57"/>
      <c r="D686" s="57"/>
      <c r="E686" s="57"/>
      <c r="F686" s="57"/>
      <c r="G686" s="57"/>
      <c r="H686" s="58"/>
      <c r="I686" s="54"/>
      <c r="J686" s="59"/>
      <c r="K686" s="38"/>
      <c r="L686" s="38"/>
      <c r="M686" s="38"/>
      <c r="N686" s="38"/>
      <c r="O686" s="38"/>
      <c r="P686" s="38"/>
      <c r="Q686" s="38"/>
      <c r="R686" s="38"/>
      <c r="S686" s="38"/>
      <c r="T686" s="38"/>
      <c r="U686" s="38"/>
      <c r="V686" s="38"/>
      <c r="W686" s="38"/>
      <c r="X686" s="53"/>
      <c r="Y686" s="42"/>
      <c r="Z686" s="42"/>
      <c r="AA686" s="42"/>
    </row>
    <row r="687" ht="13.75" customHeight="1">
      <c r="A687" s="14" t="s">
        <v>140</v>
      </c>
      <c r="B687" s="56"/>
      <c r="C687" s="57"/>
      <c r="D687" s="57"/>
      <c r="E687" s="57"/>
      <c r="F687" s="57"/>
      <c r="G687" s="57"/>
      <c r="H687" s="58"/>
      <c r="I687" s="54"/>
      <c r="J687" s="59"/>
      <c r="K687" s="38"/>
      <c r="L687" s="38"/>
      <c r="M687" s="38"/>
      <c r="N687" s="38"/>
      <c r="O687" s="38"/>
      <c r="P687" s="38"/>
      <c r="Q687" s="38"/>
      <c r="R687" s="38"/>
      <c r="S687" s="38"/>
      <c r="T687" s="38"/>
      <c r="U687" s="38"/>
      <c r="V687" s="38"/>
      <c r="W687" s="38"/>
      <c r="X687" s="53"/>
      <c r="Y687" s="42"/>
      <c r="Z687" s="42"/>
      <c r="AA687" s="42"/>
    </row>
    <row r="688" ht="13.75" customHeight="1">
      <c r="A688" s="14" t="s">
        <v>140</v>
      </c>
      <c r="B688" s="56"/>
      <c r="C688" s="57"/>
      <c r="D688" s="57"/>
      <c r="E688" s="57"/>
      <c r="F688" s="57"/>
      <c r="G688" s="57"/>
      <c r="H688" s="58"/>
      <c r="I688" s="54"/>
      <c r="J688" s="59"/>
      <c r="K688" s="38"/>
      <c r="L688" s="38"/>
      <c r="M688" s="38"/>
      <c r="N688" s="38"/>
      <c r="O688" s="38"/>
      <c r="P688" s="38"/>
      <c r="Q688" s="38"/>
      <c r="R688" s="38"/>
      <c r="S688" s="38"/>
      <c r="T688" s="38"/>
      <c r="U688" s="38"/>
      <c r="V688" s="38"/>
      <c r="W688" s="38"/>
      <c r="X688" s="53"/>
      <c r="Y688" s="42"/>
      <c r="Z688" s="42"/>
      <c r="AA688" s="42"/>
    </row>
    <row r="689" ht="13.75" customHeight="1">
      <c r="A689" s="14" t="s">
        <v>140</v>
      </c>
      <c r="B689" s="56"/>
      <c r="C689" s="57"/>
      <c r="D689" s="57"/>
      <c r="E689" s="57"/>
      <c r="F689" s="57"/>
      <c r="G689" s="57"/>
      <c r="H689" s="58"/>
      <c r="I689" s="54"/>
      <c r="J689" s="59"/>
      <c r="K689" s="38"/>
      <c r="L689" s="38"/>
      <c r="M689" s="38"/>
      <c r="N689" s="38"/>
      <c r="O689" s="38"/>
      <c r="P689" s="38"/>
      <c r="Q689" s="38"/>
      <c r="R689" s="38"/>
      <c r="S689" s="38"/>
      <c r="T689" s="38"/>
      <c r="U689" s="38"/>
      <c r="V689" s="38"/>
      <c r="W689" s="38"/>
      <c r="X689" s="53"/>
      <c r="Y689" s="42"/>
      <c r="Z689" s="42"/>
      <c r="AA689" s="42"/>
    </row>
    <row r="690" ht="13.75" customHeight="1">
      <c r="A690" s="14" t="s">
        <v>140</v>
      </c>
      <c r="B690" s="56"/>
      <c r="C690" s="57"/>
      <c r="D690" s="57"/>
      <c r="E690" s="57"/>
      <c r="F690" s="57"/>
      <c r="G690" s="57"/>
      <c r="H690" s="58"/>
      <c r="I690" s="54"/>
      <c r="J690" s="59"/>
      <c r="K690" s="38"/>
      <c r="L690" s="38"/>
      <c r="M690" s="38"/>
      <c r="N690" s="38"/>
      <c r="O690" s="38"/>
      <c r="P690" s="38"/>
      <c r="Q690" s="38"/>
      <c r="R690" s="38"/>
      <c r="S690" s="38"/>
      <c r="T690" s="38"/>
      <c r="U690" s="38"/>
      <c r="V690" s="38"/>
      <c r="W690" s="38"/>
      <c r="X690" s="53"/>
      <c r="Y690" s="42"/>
      <c r="Z690" s="42"/>
      <c r="AA690" s="42"/>
    </row>
    <row r="691" ht="13.75" customHeight="1">
      <c r="A691" s="14" t="s">
        <v>140</v>
      </c>
      <c r="B691" s="56"/>
      <c r="C691" s="57"/>
      <c r="D691" s="57"/>
      <c r="E691" s="57"/>
      <c r="F691" s="57"/>
      <c r="G691" s="57"/>
      <c r="H691" s="58"/>
      <c r="I691" s="54"/>
      <c r="J691" s="59"/>
      <c r="K691" s="38"/>
      <c r="L691" s="38"/>
      <c r="M691" s="38"/>
      <c r="N691" s="38"/>
      <c r="O691" s="38"/>
      <c r="P691" s="38"/>
      <c r="Q691" s="38"/>
      <c r="R691" s="38"/>
      <c r="S691" s="38"/>
      <c r="T691" s="38"/>
      <c r="U691" s="38"/>
      <c r="V691" s="38"/>
      <c r="W691" s="38"/>
      <c r="X691" s="53"/>
      <c r="Y691" s="42"/>
      <c r="Z691" s="42"/>
      <c r="AA691" s="42"/>
    </row>
    <row r="692" ht="13.75" customHeight="1">
      <c r="A692" s="14" t="s">
        <v>140</v>
      </c>
      <c r="B692" s="56"/>
      <c r="C692" s="57"/>
      <c r="D692" s="57"/>
      <c r="E692" s="57"/>
      <c r="F692" s="57"/>
      <c r="G692" s="57"/>
      <c r="H692" s="58"/>
      <c r="I692" s="54"/>
      <c r="J692" s="59"/>
      <c r="K692" s="38"/>
      <c r="L692" s="38"/>
      <c r="M692" s="38"/>
      <c r="N692" s="38"/>
      <c r="O692" s="38"/>
      <c r="P692" s="38"/>
      <c r="Q692" s="38"/>
      <c r="R692" s="38"/>
      <c r="S692" s="38"/>
      <c r="T692" s="38"/>
      <c r="U692" s="38"/>
      <c r="V692" s="38"/>
      <c r="W692" s="38"/>
      <c r="X692" s="53"/>
      <c r="Y692" s="42"/>
      <c r="Z692" s="42"/>
      <c r="AA692" s="42"/>
    </row>
    <row r="693" ht="13.75" customHeight="1">
      <c r="A693" s="14" t="s">
        <v>140</v>
      </c>
      <c r="B693" s="56"/>
      <c r="C693" s="57"/>
      <c r="D693" s="57"/>
      <c r="E693" s="57"/>
      <c r="F693" s="57"/>
      <c r="G693" s="57"/>
      <c r="H693" s="58"/>
      <c r="I693" s="54"/>
      <c r="J693" s="59"/>
      <c r="K693" s="38"/>
      <c r="L693" s="38"/>
      <c r="M693" s="38"/>
      <c r="N693" s="38"/>
      <c r="O693" s="38"/>
      <c r="P693" s="38"/>
      <c r="Q693" s="38"/>
      <c r="R693" s="38"/>
      <c r="S693" s="38"/>
      <c r="T693" s="38"/>
      <c r="U693" s="38"/>
      <c r="V693" s="38"/>
      <c r="W693" s="38"/>
      <c r="X693" s="53"/>
      <c r="Y693" s="42"/>
      <c r="Z693" s="42"/>
      <c r="AA693" s="42"/>
    </row>
    <row r="694" ht="13.75" customHeight="1">
      <c r="A694" s="14" t="s">
        <v>140</v>
      </c>
      <c r="B694" s="56"/>
      <c r="C694" s="57"/>
      <c r="D694" s="57"/>
      <c r="E694" s="57"/>
      <c r="F694" s="57"/>
      <c r="G694" s="57"/>
      <c r="H694" s="58"/>
      <c r="I694" s="54"/>
      <c r="J694" s="59"/>
      <c r="K694" s="38"/>
      <c r="L694" s="38"/>
      <c r="M694" s="38"/>
      <c r="N694" s="38"/>
      <c r="O694" s="38"/>
      <c r="P694" s="38"/>
      <c r="Q694" s="38"/>
      <c r="R694" s="38"/>
      <c r="S694" s="38"/>
      <c r="T694" s="38"/>
      <c r="U694" s="38"/>
      <c r="V694" s="38"/>
      <c r="W694" s="38"/>
      <c r="X694" s="53"/>
      <c r="Y694" s="42"/>
      <c r="Z694" s="42"/>
      <c r="AA694" s="42"/>
    </row>
    <row r="695" ht="13.75" customHeight="1">
      <c r="A695" s="14" t="s">
        <v>140</v>
      </c>
      <c r="B695" s="56"/>
      <c r="C695" s="57"/>
      <c r="D695" s="57"/>
      <c r="E695" s="57"/>
      <c r="F695" s="57"/>
      <c r="G695" s="57"/>
      <c r="H695" s="58"/>
      <c r="I695" s="54"/>
      <c r="J695" s="59"/>
      <c r="K695" s="38"/>
      <c r="L695" s="38"/>
      <c r="M695" s="38"/>
      <c r="N695" s="38"/>
      <c r="O695" s="38"/>
      <c r="P695" s="38"/>
      <c r="Q695" s="38"/>
      <c r="R695" s="38"/>
      <c r="S695" s="38"/>
      <c r="T695" s="38"/>
      <c r="U695" s="38"/>
      <c r="V695" s="38"/>
      <c r="W695" s="38"/>
      <c r="X695" s="53"/>
      <c r="Y695" s="42"/>
      <c r="Z695" s="42"/>
      <c r="AA695" s="42"/>
    </row>
    <row r="696" ht="13.75" customHeight="1">
      <c r="A696" s="14" t="s">
        <v>140</v>
      </c>
      <c r="B696" s="56"/>
      <c r="C696" s="57"/>
      <c r="D696" s="57"/>
      <c r="E696" s="57"/>
      <c r="F696" s="57"/>
      <c r="G696" s="57"/>
      <c r="H696" s="58"/>
      <c r="I696" s="54"/>
      <c r="J696" s="59"/>
      <c r="K696" s="38"/>
      <c r="L696" s="38"/>
      <c r="M696" s="38"/>
      <c r="N696" s="38"/>
      <c r="O696" s="38"/>
      <c r="P696" s="38"/>
      <c r="Q696" s="38"/>
      <c r="R696" s="38"/>
      <c r="S696" s="38"/>
      <c r="T696" s="38"/>
      <c r="U696" s="38"/>
      <c r="V696" s="38"/>
      <c r="W696" s="38"/>
      <c r="X696" s="53"/>
      <c r="Y696" s="42"/>
      <c r="Z696" s="42"/>
      <c r="AA696" s="42"/>
    </row>
    <row r="697" ht="13.75" customHeight="1">
      <c r="A697" s="14" t="s">
        <v>140</v>
      </c>
      <c r="B697" s="56"/>
      <c r="C697" s="57"/>
      <c r="D697" s="57"/>
      <c r="E697" s="57"/>
      <c r="F697" s="57"/>
      <c r="G697" s="57"/>
      <c r="H697" s="58"/>
      <c r="I697" s="54"/>
      <c r="J697" s="59"/>
      <c r="K697" s="38"/>
      <c r="L697" s="38"/>
      <c r="M697" s="38"/>
      <c r="N697" s="38"/>
      <c r="O697" s="38"/>
      <c r="P697" s="38"/>
      <c r="Q697" s="38"/>
      <c r="R697" s="38"/>
      <c r="S697" s="38"/>
      <c r="T697" s="38"/>
      <c r="U697" s="38"/>
      <c r="V697" s="38"/>
      <c r="W697" s="38"/>
      <c r="X697" s="53"/>
      <c r="Y697" s="42"/>
      <c r="Z697" s="42"/>
      <c r="AA697" s="42"/>
    </row>
    <row r="698" ht="13.75" customHeight="1">
      <c r="A698" s="14" t="s">
        <v>140</v>
      </c>
      <c r="B698" s="56"/>
      <c r="C698" s="57"/>
      <c r="D698" s="57"/>
      <c r="E698" s="57"/>
      <c r="F698" s="57"/>
      <c r="G698" s="57"/>
      <c r="H698" s="58"/>
      <c r="I698" s="54"/>
      <c r="J698" s="59"/>
      <c r="K698" s="38"/>
      <c r="L698" s="38"/>
      <c r="M698" s="38"/>
      <c r="N698" s="38"/>
      <c r="O698" s="38"/>
      <c r="P698" s="38"/>
      <c r="Q698" s="38"/>
      <c r="R698" s="38"/>
      <c r="S698" s="38"/>
      <c r="T698" s="38"/>
      <c r="U698" s="38"/>
      <c r="V698" s="38"/>
      <c r="W698" s="38"/>
      <c r="X698" s="53"/>
      <c r="Y698" s="42"/>
      <c r="Z698" s="42"/>
      <c r="AA698" s="42"/>
    </row>
    <row r="699" ht="13.75" customHeight="1">
      <c r="A699" s="14" t="s">
        <v>140</v>
      </c>
      <c r="B699" s="56"/>
      <c r="C699" s="57"/>
      <c r="D699" s="57"/>
      <c r="E699" s="57"/>
      <c r="F699" s="57"/>
      <c r="G699" s="57"/>
      <c r="H699" s="58"/>
      <c r="I699" s="54"/>
      <c r="J699" s="59"/>
      <c r="K699" s="38"/>
      <c r="L699" s="38"/>
      <c r="M699" s="38"/>
      <c r="N699" s="38"/>
      <c r="O699" s="38"/>
      <c r="P699" s="38"/>
      <c r="Q699" s="38"/>
      <c r="R699" s="38"/>
      <c r="S699" s="38"/>
      <c r="T699" s="38"/>
      <c r="U699" s="38"/>
      <c r="V699" s="38"/>
      <c r="W699" s="38"/>
      <c r="X699" s="53"/>
      <c r="Y699" s="42"/>
      <c r="Z699" s="42"/>
      <c r="AA699" s="42"/>
    </row>
    <row r="700" ht="13.75" customHeight="1">
      <c r="A700" s="14" t="s">
        <v>140</v>
      </c>
      <c r="B700" s="56"/>
      <c r="C700" s="57"/>
      <c r="D700" s="57"/>
      <c r="E700" s="57"/>
      <c r="F700" s="57"/>
      <c r="G700" s="57"/>
      <c r="H700" s="58"/>
      <c r="I700" s="54"/>
      <c r="J700" s="59"/>
      <c r="K700" s="38"/>
      <c r="L700" s="38"/>
      <c r="M700" s="38"/>
      <c r="N700" s="38"/>
      <c r="O700" s="38"/>
      <c r="P700" s="38"/>
      <c r="Q700" s="38"/>
      <c r="R700" s="38"/>
      <c r="S700" s="38"/>
      <c r="T700" s="38"/>
      <c r="U700" s="38"/>
      <c r="V700" s="38"/>
      <c r="W700" s="38"/>
      <c r="X700" s="53"/>
      <c r="Y700" s="42"/>
      <c r="Z700" s="42"/>
      <c r="AA700" s="42"/>
    </row>
    <row r="701" ht="13.75" customHeight="1">
      <c r="A701" s="14" t="s">
        <v>140</v>
      </c>
      <c r="B701" s="56"/>
      <c r="C701" s="57"/>
      <c r="D701" s="57"/>
      <c r="E701" s="57"/>
      <c r="F701" s="57"/>
      <c r="G701" s="57"/>
      <c r="H701" s="58"/>
      <c r="I701" s="54"/>
      <c r="J701" s="59"/>
      <c r="K701" s="38"/>
      <c r="L701" s="38"/>
      <c r="M701" s="38"/>
      <c r="N701" s="38"/>
      <c r="O701" s="38"/>
      <c r="P701" s="38"/>
      <c r="Q701" s="38"/>
      <c r="R701" s="38"/>
      <c r="S701" s="38"/>
      <c r="T701" s="38"/>
      <c r="U701" s="38"/>
      <c r="V701" s="38"/>
      <c r="W701" s="38"/>
      <c r="X701" s="53"/>
      <c r="Y701" s="42"/>
      <c r="Z701" s="42"/>
      <c r="AA701" s="42"/>
    </row>
    <row r="702" ht="13.75" customHeight="1">
      <c r="A702" s="14" t="s">
        <v>140</v>
      </c>
      <c r="B702" s="56"/>
      <c r="C702" s="57"/>
      <c r="D702" s="57"/>
      <c r="E702" s="57"/>
      <c r="F702" s="57"/>
      <c r="G702" s="57"/>
      <c r="H702" s="58"/>
      <c r="I702" s="54"/>
      <c r="J702" s="59"/>
      <c r="K702" s="38"/>
      <c r="L702" s="38"/>
      <c r="M702" s="38"/>
      <c r="N702" s="38"/>
      <c r="O702" s="38"/>
      <c r="P702" s="38"/>
      <c r="Q702" s="38"/>
      <c r="R702" s="38"/>
      <c r="S702" s="38"/>
      <c r="T702" s="38"/>
      <c r="U702" s="38"/>
      <c r="V702" s="38"/>
      <c r="W702" s="38"/>
      <c r="X702" s="53"/>
      <c r="Y702" s="42"/>
      <c r="Z702" s="42"/>
      <c r="AA702" s="42"/>
    </row>
    <row r="703" ht="13.75" customHeight="1">
      <c r="A703" s="14" t="s">
        <v>140</v>
      </c>
      <c r="B703" s="56"/>
      <c r="C703" s="57"/>
      <c r="D703" s="57"/>
      <c r="E703" s="57"/>
      <c r="F703" s="57"/>
      <c r="G703" s="57"/>
      <c r="H703" s="58"/>
      <c r="I703" s="54"/>
      <c r="J703" s="59"/>
      <c r="K703" s="38"/>
      <c r="L703" s="38"/>
      <c r="M703" s="38"/>
      <c r="N703" s="38"/>
      <c r="O703" s="38"/>
      <c r="P703" s="38"/>
      <c r="Q703" s="38"/>
      <c r="R703" s="38"/>
      <c r="S703" s="38"/>
      <c r="T703" s="38"/>
      <c r="U703" s="38"/>
      <c r="V703" s="38"/>
      <c r="W703" s="38"/>
      <c r="X703" s="53"/>
      <c r="Y703" s="42"/>
      <c r="Z703" s="42"/>
      <c r="AA703" s="42"/>
    </row>
    <row r="704" ht="13.75" customHeight="1">
      <c r="A704" s="14" t="s">
        <v>140</v>
      </c>
      <c r="B704" s="56"/>
      <c r="C704" s="57"/>
      <c r="D704" s="57"/>
      <c r="E704" s="57"/>
      <c r="F704" s="57"/>
      <c r="G704" s="57"/>
      <c r="H704" s="58"/>
      <c r="I704" s="54"/>
      <c r="J704" s="59"/>
      <c r="K704" s="38"/>
      <c r="L704" s="38"/>
      <c r="M704" s="38"/>
      <c r="N704" s="38"/>
      <c r="O704" s="38"/>
      <c r="P704" s="38"/>
      <c r="Q704" s="38"/>
      <c r="R704" s="38"/>
      <c r="S704" s="38"/>
      <c r="T704" s="38"/>
      <c r="U704" s="38"/>
      <c r="V704" s="38"/>
      <c r="W704" s="38"/>
      <c r="X704" s="53"/>
      <c r="Y704" s="42"/>
      <c r="Z704" s="42"/>
      <c r="AA704" s="42"/>
    </row>
    <row r="705" ht="13.75" customHeight="1">
      <c r="A705" s="14" t="s">
        <v>140</v>
      </c>
      <c r="B705" s="56"/>
      <c r="C705" s="57"/>
      <c r="D705" s="57"/>
      <c r="E705" s="57"/>
      <c r="F705" s="57"/>
      <c r="G705" s="57"/>
      <c r="H705" s="58"/>
      <c r="I705" s="54"/>
      <c r="J705" s="59"/>
      <c r="K705" s="38"/>
      <c r="L705" s="38"/>
      <c r="M705" s="38"/>
      <c r="N705" s="38"/>
      <c r="O705" s="38"/>
      <c r="P705" s="38"/>
      <c r="Q705" s="38"/>
      <c r="R705" s="38"/>
      <c r="S705" s="38"/>
      <c r="T705" s="38"/>
      <c r="U705" s="38"/>
      <c r="V705" s="38"/>
      <c r="W705" s="38"/>
      <c r="X705" s="53"/>
      <c r="Y705" s="42"/>
      <c r="Z705" s="42"/>
      <c r="AA705" s="42"/>
    </row>
    <row r="706" ht="13.75" customHeight="1">
      <c r="A706" s="14" t="s">
        <v>140</v>
      </c>
      <c r="B706" s="56"/>
      <c r="C706" s="57"/>
      <c r="D706" s="57"/>
      <c r="E706" s="57"/>
      <c r="F706" s="57"/>
      <c r="G706" s="57"/>
      <c r="H706" s="58"/>
      <c r="I706" s="54"/>
      <c r="J706" s="59"/>
      <c r="K706" s="38"/>
      <c r="L706" s="38"/>
      <c r="M706" s="38"/>
      <c r="N706" s="38"/>
      <c r="O706" s="38"/>
      <c r="P706" s="38"/>
      <c r="Q706" s="38"/>
      <c r="R706" s="38"/>
      <c r="S706" s="38"/>
      <c r="T706" s="38"/>
      <c r="U706" s="38"/>
      <c r="V706" s="38"/>
      <c r="W706" s="38"/>
      <c r="X706" s="53"/>
      <c r="Y706" s="42"/>
      <c r="Z706" s="42"/>
      <c r="AA706" s="42"/>
    </row>
    <row r="707" ht="13.75" customHeight="1">
      <c r="A707" s="14" t="s">
        <v>140</v>
      </c>
      <c r="B707" s="56"/>
      <c r="C707" s="57"/>
      <c r="D707" s="57"/>
      <c r="E707" s="57"/>
      <c r="F707" s="57"/>
      <c r="G707" s="57"/>
      <c r="H707" s="58"/>
      <c r="I707" s="54"/>
      <c r="J707" s="59"/>
      <c r="K707" s="38"/>
      <c r="L707" s="38"/>
      <c r="M707" s="38"/>
      <c r="N707" s="38"/>
      <c r="O707" s="38"/>
      <c r="P707" s="38"/>
      <c r="Q707" s="38"/>
      <c r="R707" s="38"/>
      <c r="S707" s="38"/>
      <c r="T707" s="38"/>
      <c r="U707" s="38"/>
      <c r="V707" s="38"/>
      <c r="W707" s="38"/>
      <c r="X707" s="53"/>
      <c r="Y707" s="42"/>
      <c r="Z707" s="42"/>
      <c r="AA707" s="42"/>
    </row>
    <row r="708" ht="13.75" customHeight="1">
      <c r="A708" s="14" t="s">
        <v>140</v>
      </c>
      <c r="B708" s="56"/>
      <c r="C708" s="57"/>
      <c r="D708" s="57"/>
      <c r="E708" s="57"/>
      <c r="F708" s="57"/>
      <c r="G708" s="57"/>
      <c r="H708" s="58"/>
      <c r="I708" s="54"/>
      <c r="J708" s="59"/>
      <c r="K708" s="38"/>
      <c r="L708" s="38"/>
      <c r="M708" s="38"/>
      <c r="N708" s="38"/>
      <c r="O708" s="38"/>
      <c r="P708" s="38"/>
      <c r="Q708" s="38"/>
      <c r="R708" s="38"/>
      <c r="S708" s="38"/>
      <c r="T708" s="38"/>
      <c r="U708" s="38"/>
      <c r="V708" s="38"/>
      <c r="W708" s="38"/>
      <c r="X708" s="53"/>
      <c r="Y708" s="42"/>
      <c r="Z708" s="42"/>
      <c r="AA708" s="42"/>
    </row>
    <row r="709" ht="13.75" customHeight="1">
      <c r="A709" s="14" t="s">
        <v>140</v>
      </c>
      <c r="B709" s="56"/>
      <c r="C709" s="57"/>
      <c r="D709" s="57"/>
      <c r="E709" s="57"/>
      <c r="F709" s="57"/>
      <c r="G709" s="57"/>
      <c r="H709" s="58"/>
      <c r="I709" s="54"/>
      <c r="J709" s="59"/>
      <c r="K709" s="38"/>
      <c r="L709" s="38"/>
      <c r="M709" s="38"/>
      <c r="N709" s="38"/>
      <c r="O709" s="38"/>
      <c r="P709" s="38"/>
      <c r="Q709" s="38"/>
      <c r="R709" s="38"/>
      <c r="S709" s="38"/>
      <c r="T709" s="38"/>
      <c r="U709" s="38"/>
      <c r="V709" s="38"/>
      <c r="W709" s="38"/>
      <c r="X709" s="53"/>
      <c r="Y709" s="42"/>
      <c r="Z709" s="42"/>
      <c r="AA709" s="42"/>
    </row>
    <row r="710" ht="13.75" customHeight="1">
      <c r="A710" s="14" t="s">
        <v>140</v>
      </c>
      <c r="B710" s="56"/>
      <c r="C710" s="57"/>
      <c r="D710" s="57"/>
      <c r="E710" s="57"/>
      <c r="F710" s="57"/>
      <c r="G710" s="57"/>
      <c r="H710" s="58"/>
      <c r="I710" s="54"/>
      <c r="J710" s="59"/>
      <c r="K710" s="38"/>
      <c r="L710" s="38"/>
      <c r="M710" s="38"/>
      <c r="N710" s="38"/>
      <c r="O710" s="38"/>
      <c r="P710" s="38"/>
      <c r="Q710" s="38"/>
      <c r="R710" s="38"/>
      <c r="S710" s="38"/>
      <c r="T710" s="38"/>
      <c r="U710" s="38"/>
      <c r="V710" s="38"/>
      <c r="W710" s="38"/>
      <c r="X710" s="53"/>
      <c r="Y710" s="42"/>
      <c r="Z710" s="42"/>
      <c r="AA710" s="42"/>
    </row>
    <row r="711" ht="13.75" customHeight="1">
      <c r="A711" s="14" t="s">
        <v>140</v>
      </c>
      <c r="B711" s="56"/>
      <c r="C711" s="57"/>
      <c r="D711" s="57"/>
      <c r="E711" s="57"/>
      <c r="F711" s="57"/>
      <c r="G711" s="57"/>
      <c r="H711" s="58"/>
      <c r="I711" s="54"/>
      <c r="J711" s="59"/>
      <c r="K711" s="38"/>
      <c r="L711" s="38"/>
      <c r="M711" s="38"/>
      <c r="N711" s="38"/>
      <c r="O711" s="38"/>
      <c r="P711" s="38"/>
      <c r="Q711" s="38"/>
      <c r="R711" s="38"/>
      <c r="S711" s="38"/>
      <c r="T711" s="38"/>
      <c r="U711" s="38"/>
      <c r="V711" s="38"/>
      <c r="W711" s="38"/>
      <c r="X711" s="53"/>
      <c r="Y711" s="42"/>
      <c r="Z711" s="42"/>
      <c r="AA711" s="42"/>
    </row>
    <row r="712" ht="13.75" customHeight="1">
      <c r="A712" s="14" t="s">
        <v>140</v>
      </c>
      <c r="B712" s="56"/>
      <c r="C712" s="57"/>
      <c r="D712" s="57"/>
      <c r="E712" s="57"/>
      <c r="F712" s="57"/>
      <c r="G712" s="57"/>
      <c r="H712" s="58"/>
      <c r="I712" s="54"/>
      <c r="J712" s="59"/>
      <c r="K712" s="38"/>
      <c r="L712" s="38"/>
      <c r="M712" s="38"/>
      <c r="N712" s="38"/>
      <c r="O712" s="38"/>
      <c r="P712" s="38"/>
      <c r="Q712" s="38"/>
      <c r="R712" s="38"/>
      <c r="S712" s="38"/>
      <c r="T712" s="38"/>
      <c r="U712" s="38"/>
      <c r="V712" s="38"/>
      <c r="W712" s="38"/>
      <c r="X712" s="53"/>
      <c r="Y712" s="42"/>
      <c r="Z712" s="42"/>
      <c r="AA712" s="42"/>
    </row>
    <row r="713" ht="13.75" customHeight="1">
      <c r="A713" s="14" t="s">
        <v>140</v>
      </c>
      <c r="B713" s="56"/>
      <c r="C713" s="57"/>
      <c r="D713" s="57"/>
      <c r="E713" s="57"/>
      <c r="F713" s="57"/>
      <c r="G713" s="57"/>
      <c r="H713" s="58"/>
      <c r="I713" s="54"/>
      <c r="J713" s="59"/>
      <c r="K713" s="38"/>
      <c r="L713" s="38"/>
      <c r="M713" s="38"/>
      <c r="N713" s="38"/>
      <c r="O713" s="38"/>
      <c r="P713" s="38"/>
      <c r="Q713" s="38"/>
      <c r="R713" s="38"/>
      <c r="S713" s="38"/>
      <c r="T713" s="38"/>
      <c r="U713" s="38"/>
      <c r="V713" s="38"/>
      <c r="W713" s="38"/>
      <c r="X713" s="53"/>
      <c r="Y713" s="42"/>
      <c r="Z713" s="42"/>
      <c r="AA713" s="42"/>
    </row>
    <row r="714" ht="13.75" customHeight="1">
      <c r="A714" s="14" t="s">
        <v>140</v>
      </c>
      <c r="B714" s="56"/>
      <c r="C714" s="57"/>
      <c r="D714" s="57"/>
      <c r="E714" s="57"/>
      <c r="F714" s="57"/>
      <c r="G714" s="57"/>
      <c r="H714" s="58"/>
      <c r="I714" s="54"/>
      <c r="J714" s="59"/>
      <c r="K714" s="38"/>
      <c r="L714" s="38"/>
      <c r="M714" s="38"/>
      <c r="N714" s="38"/>
      <c r="O714" s="38"/>
      <c r="P714" s="38"/>
      <c r="Q714" s="38"/>
      <c r="R714" s="38"/>
      <c r="S714" s="38"/>
      <c r="T714" s="38"/>
      <c r="U714" s="38"/>
      <c r="V714" s="38"/>
      <c r="W714" s="38"/>
      <c r="X714" s="53"/>
      <c r="Y714" s="42"/>
      <c r="Z714" s="42"/>
      <c r="AA714" s="42"/>
    </row>
    <row r="715" ht="13.75" customHeight="1">
      <c r="A715" s="14" t="s">
        <v>140</v>
      </c>
      <c r="B715" s="56"/>
      <c r="C715" s="57"/>
      <c r="D715" s="57"/>
      <c r="E715" s="57"/>
      <c r="F715" s="57"/>
      <c r="G715" s="57"/>
      <c r="H715" s="58"/>
      <c r="I715" s="54"/>
      <c r="J715" s="59"/>
      <c r="K715" s="38"/>
      <c r="L715" s="38"/>
      <c r="M715" s="38"/>
      <c r="N715" s="38"/>
      <c r="O715" s="38"/>
      <c r="P715" s="38"/>
      <c r="Q715" s="38"/>
      <c r="R715" s="38"/>
      <c r="S715" s="38"/>
      <c r="T715" s="38"/>
      <c r="U715" s="38"/>
      <c r="V715" s="38"/>
      <c r="W715" s="38"/>
      <c r="X715" s="53"/>
      <c r="Y715" s="42"/>
      <c r="Z715" s="42"/>
      <c r="AA715" s="42"/>
    </row>
    <row r="716" ht="13.75" customHeight="1">
      <c r="A716" s="14" t="s">
        <v>140</v>
      </c>
      <c r="B716" s="56"/>
      <c r="C716" s="57"/>
      <c r="D716" s="57"/>
      <c r="E716" s="57"/>
      <c r="F716" s="57"/>
      <c r="G716" s="57"/>
      <c r="H716" s="58"/>
      <c r="I716" s="54"/>
      <c r="J716" s="59"/>
      <c r="K716" s="38"/>
      <c r="L716" s="38"/>
      <c r="M716" s="38"/>
      <c r="N716" s="38"/>
      <c r="O716" s="38"/>
      <c r="P716" s="38"/>
      <c r="Q716" s="38"/>
      <c r="R716" s="38"/>
      <c r="S716" s="38"/>
      <c r="T716" s="38"/>
      <c r="U716" s="38"/>
      <c r="V716" s="38"/>
      <c r="W716" s="38"/>
      <c r="X716" s="53"/>
      <c r="Y716" s="42"/>
      <c r="Z716" s="42"/>
      <c r="AA716" s="42"/>
    </row>
    <row r="717" ht="13.75" customHeight="1">
      <c r="A717" s="14" t="s">
        <v>140</v>
      </c>
      <c r="B717" s="56"/>
      <c r="C717" s="57"/>
      <c r="D717" s="57"/>
      <c r="E717" s="57"/>
      <c r="F717" s="57"/>
      <c r="G717" s="57"/>
      <c r="H717" s="58"/>
      <c r="I717" s="54"/>
      <c r="J717" s="59"/>
      <c r="K717" s="38"/>
      <c r="L717" s="38"/>
      <c r="M717" s="38"/>
      <c r="N717" s="38"/>
      <c r="O717" s="38"/>
      <c r="P717" s="38"/>
      <c r="Q717" s="38"/>
      <c r="R717" s="38"/>
      <c r="S717" s="38"/>
      <c r="T717" s="38"/>
      <c r="U717" s="38"/>
      <c r="V717" s="38"/>
      <c r="W717" s="38"/>
      <c r="X717" s="53"/>
      <c r="Y717" s="42"/>
      <c r="Z717" s="42"/>
      <c r="AA717" s="42"/>
    </row>
    <row r="718" ht="13.75" customHeight="1">
      <c r="A718" s="14" t="s">
        <v>140</v>
      </c>
      <c r="B718" s="56"/>
      <c r="C718" s="57"/>
      <c r="D718" s="57"/>
      <c r="E718" s="57"/>
      <c r="F718" s="57"/>
      <c r="G718" s="57"/>
      <c r="H718" s="58"/>
      <c r="I718" s="54"/>
      <c r="J718" s="59"/>
      <c r="K718" s="38"/>
      <c r="L718" s="38"/>
      <c r="M718" s="38"/>
      <c r="N718" s="38"/>
      <c r="O718" s="38"/>
      <c r="P718" s="38"/>
      <c r="Q718" s="38"/>
      <c r="R718" s="38"/>
      <c r="S718" s="38"/>
      <c r="T718" s="38"/>
      <c r="U718" s="38"/>
      <c r="V718" s="38"/>
      <c r="W718" s="38"/>
      <c r="X718" s="53"/>
      <c r="Y718" s="42"/>
      <c r="Z718" s="42"/>
      <c r="AA718" s="42"/>
    </row>
    <row r="719" ht="13.75" customHeight="1">
      <c r="A719" s="14" t="s">
        <v>140</v>
      </c>
      <c r="B719" s="56"/>
      <c r="C719" s="57"/>
      <c r="D719" s="57"/>
      <c r="E719" s="57"/>
      <c r="F719" s="57"/>
      <c r="G719" s="57"/>
      <c r="H719" s="58"/>
      <c r="I719" s="54"/>
      <c r="J719" s="59"/>
      <c r="K719" s="38"/>
      <c r="L719" s="38"/>
      <c r="M719" s="38"/>
      <c r="N719" s="38"/>
      <c r="O719" s="38"/>
      <c r="P719" s="38"/>
      <c r="Q719" s="38"/>
      <c r="R719" s="38"/>
      <c r="S719" s="38"/>
      <c r="T719" s="38"/>
      <c r="U719" s="38"/>
      <c r="V719" s="38"/>
      <c r="W719" s="38"/>
      <c r="X719" s="53"/>
      <c r="Y719" s="42"/>
      <c r="Z719" s="42"/>
      <c r="AA719" s="42"/>
    </row>
    <row r="720" ht="13.75" customHeight="1">
      <c r="A720" s="14" t="s">
        <v>140</v>
      </c>
      <c r="B720" s="56"/>
      <c r="C720" s="57"/>
      <c r="D720" s="57"/>
      <c r="E720" s="57"/>
      <c r="F720" s="57"/>
      <c r="G720" s="57"/>
      <c r="H720" s="58"/>
      <c r="I720" s="54"/>
      <c r="J720" s="59"/>
      <c r="K720" s="38"/>
      <c r="L720" s="38"/>
      <c r="M720" s="38"/>
      <c r="N720" s="38"/>
      <c r="O720" s="38"/>
      <c r="P720" s="38"/>
      <c r="Q720" s="38"/>
      <c r="R720" s="38"/>
      <c r="S720" s="38"/>
      <c r="T720" s="38"/>
      <c r="U720" s="38"/>
      <c r="V720" s="38"/>
      <c r="W720" s="38"/>
      <c r="X720" s="53"/>
      <c r="Y720" s="42"/>
      <c r="Z720" s="42"/>
      <c r="AA720" s="42"/>
    </row>
    <row r="721" ht="13.75" customHeight="1">
      <c r="A721" s="14" t="s">
        <v>140</v>
      </c>
      <c r="B721" s="56"/>
      <c r="C721" s="57"/>
      <c r="D721" s="57"/>
      <c r="E721" s="57"/>
      <c r="F721" s="57"/>
      <c r="G721" s="57"/>
      <c r="H721" s="58"/>
      <c r="I721" s="54"/>
      <c r="J721" s="59"/>
      <c r="K721" s="38"/>
      <c r="L721" s="38"/>
      <c r="M721" s="38"/>
      <c r="N721" s="38"/>
      <c r="O721" s="38"/>
      <c r="P721" s="38"/>
      <c r="Q721" s="38"/>
      <c r="R721" s="38"/>
      <c r="S721" s="38"/>
      <c r="T721" s="38"/>
      <c r="U721" s="38"/>
      <c r="V721" s="38"/>
      <c r="W721" s="38"/>
      <c r="X721" s="53"/>
      <c r="Y721" s="42"/>
      <c r="Z721" s="42"/>
      <c r="AA721" s="42"/>
    </row>
    <row r="722" ht="13.75" customHeight="1">
      <c r="A722" s="14" t="s">
        <v>140</v>
      </c>
      <c r="B722" s="56"/>
      <c r="C722" s="57"/>
      <c r="D722" s="57"/>
      <c r="E722" s="57"/>
      <c r="F722" s="57"/>
      <c r="G722" s="57"/>
      <c r="H722" s="58"/>
      <c r="I722" s="54"/>
      <c r="J722" s="59"/>
      <c r="K722" s="38"/>
      <c r="L722" s="38"/>
      <c r="M722" s="38"/>
      <c r="N722" s="38"/>
      <c r="O722" s="38"/>
      <c r="P722" s="38"/>
      <c r="Q722" s="38"/>
      <c r="R722" s="38"/>
      <c r="S722" s="38"/>
      <c r="T722" s="38"/>
      <c r="U722" s="38"/>
      <c r="V722" s="38"/>
      <c r="W722" s="38"/>
      <c r="X722" s="53"/>
      <c r="Y722" s="42"/>
      <c r="Z722" s="42"/>
      <c r="AA722" s="42"/>
    </row>
    <row r="723" ht="13.75" customHeight="1">
      <c r="A723" s="14" t="s">
        <v>140</v>
      </c>
      <c r="B723" s="56"/>
      <c r="C723" s="57"/>
      <c r="D723" s="57"/>
      <c r="E723" s="57"/>
      <c r="F723" s="57"/>
      <c r="G723" s="57"/>
      <c r="H723" s="58"/>
      <c r="I723" s="54"/>
      <c r="J723" s="59"/>
      <c r="K723" s="38"/>
      <c r="L723" s="38"/>
      <c r="M723" s="38"/>
      <c r="N723" s="38"/>
      <c r="O723" s="38"/>
      <c r="P723" s="38"/>
      <c r="Q723" s="38"/>
      <c r="R723" s="38"/>
      <c r="S723" s="38"/>
      <c r="T723" s="38"/>
      <c r="U723" s="38"/>
      <c r="V723" s="38"/>
      <c r="W723" s="38"/>
      <c r="X723" s="53"/>
      <c r="Y723" s="42"/>
      <c r="Z723" s="42"/>
      <c r="AA723" s="42"/>
    </row>
    <row r="724" ht="13.75" customHeight="1">
      <c r="A724" s="14" t="s">
        <v>140</v>
      </c>
      <c r="B724" s="56"/>
      <c r="C724" s="57"/>
      <c r="D724" s="57"/>
      <c r="E724" s="57"/>
      <c r="F724" s="57"/>
      <c r="G724" s="57"/>
      <c r="H724" s="58"/>
      <c r="I724" s="54"/>
      <c r="J724" s="59"/>
      <c r="K724" s="38"/>
      <c r="L724" s="38"/>
      <c r="M724" s="38"/>
      <c r="N724" s="38"/>
      <c r="O724" s="38"/>
      <c r="P724" s="38"/>
      <c r="Q724" s="38"/>
      <c r="R724" s="38"/>
      <c r="S724" s="38"/>
      <c r="T724" s="38"/>
      <c r="U724" s="38"/>
      <c r="V724" s="38"/>
      <c r="W724" s="38"/>
      <c r="X724" s="53"/>
      <c r="Y724" s="42"/>
      <c r="Z724" s="42"/>
      <c r="AA724" s="42"/>
    </row>
    <row r="725" ht="13.75" customHeight="1">
      <c r="A725" s="14" t="s">
        <v>140</v>
      </c>
      <c r="B725" s="56"/>
      <c r="C725" s="57"/>
      <c r="D725" s="57"/>
      <c r="E725" s="57"/>
      <c r="F725" s="57"/>
      <c r="G725" s="57"/>
      <c r="H725" s="58"/>
      <c r="I725" s="54"/>
      <c r="J725" s="59"/>
      <c r="K725" s="38"/>
      <c r="L725" s="38"/>
      <c r="M725" s="38"/>
      <c r="N725" s="38"/>
      <c r="O725" s="38"/>
      <c r="P725" s="38"/>
      <c r="Q725" s="38"/>
      <c r="R725" s="38"/>
      <c r="S725" s="38"/>
      <c r="T725" s="38"/>
      <c r="U725" s="38"/>
      <c r="V725" s="38"/>
      <c r="W725" s="38"/>
      <c r="X725" s="53"/>
      <c r="Y725" s="42"/>
      <c r="Z725" s="42"/>
      <c r="AA725" s="42"/>
    </row>
    <row r="726" ht="13.75" customHeight="1">
      <c r="A726" s="14" t="s">
        <v>140</v>
      </c>
      <c r="B726" s="56"/>
      <c r="C726" s="57"/>
      <c r="D726" s="57"/>
      <c r="E726" s="57"/>
      <c r="F726" s="57"/>
      <c r="G726" s="57"/>
      <c r="H726" s="58"/>
      <c r="I726" s="54"/>
      <c r="J726" s="59"/>
      <c r="K726" s="38"/>
      <c r="L726" s="38"/>
      <c r="M726" s="38"/>
      <c r="N726" s="38"/>
      <c r="O726" s="38"/>
      <c r="P726" s="38"/>
      <c r="Q726" s="38"/>
      <c r="R726" s="38"/>
      <c r="S726" s="38"/>
      <c r="T726" s="38"/>
      <c r="U726" s="38"/>
      <c r="V726" s="38"/>
      <c r="W726" s="38"/>
      <c r="X726" s="53"/>
      <c r="Y726" s="42"/>
      <c r="Z726" s="42"/>
      <c r="AA726" s="42"/>
    </row>
    <row r="727" ht="13.75" customHeight="1">
      <c r="A727" s="14" t="s">
        <v>140</v>
      </c>
      <c r="B727" s="56"/>
      <c r="C727" s="57"/>
      <c r="D727" s="57"/>
      <c r="E727" s="57"/>
      <c r="F727" s="57"/>
      <c r="G727" s="57"/>
      <c r="H727" s="58"/>
      <c r="I727" s="54"/>
      <c r="J727" s="59"/>
      <c r="K727" s="38"/>
      <c r="L727" s="38"/>
      <c r="M727" s="38"/>
      <c r="N727" s="38"/>
      <c r="O727" s="38"/>
      <c r="P727" s="38"/>
      <c r="Q727" s="38"/>
      <c r="R727" s="38"/>
      <c r="S727" s="38"/>
      <c r="T727" s="38"/>
      <c r="U727" s="38"/>
      <c r="V727" s="38"/>
      <c r="W727" s="38"/>
      <c r="X727" s="53"/>
      <c r="Y727" s="42"/>
      <c r="Z727" s="42"/>
      <c r="AA727" s="42"/>
    </row>
    <row r="728" ht="13.75" customHeight="1">
      <c r="A728" s="14" t="s">
        <v>140</v>
      </c>
      <c r="B728" s="56"/>
      <c r="C728" s="57"/>
      <c r="D728" s="57"/>
      <c r="E728" s="57"/>
      <c r="F728" s="57"/>
      <c r="G728" s="57"/>
      <c r="H728" s="58"/>
      <c r="I728" s="54"/>
      <c r="J728" s="59"/>
      <c r="K728" s="38"/>
      <c r="L728" s="38"/>
      <c r="M728" s="38"/>
      <c r="N728" s="38"/>
      <c r="O728" s="38"/>
      <c r="P728" s="38"/>
      <c r="Q728" s="38"/>
      <c r="R728" s="38"/>
      <c r="S728" s="38"/>
      <c r="T728" s="38"/>
      <c r="U728" s="38"/>
      <c r="V728" s="38"/>
      <c r="W728" s="38"/>
      <c r="X728" s="53"/>
      <c r="Y728" s="42"/>
      <c r="Z728" s="42"/>
      <c r="AA728" s="42"/>
    </row>
    <row r="729" ht="13.75" customHeight="1">
      <c r="A729" s="14" t="s">
        <v>140</v>
      </c>
      <c r="B729" s="56"/>
      <c r="C729" s="57"/>
      <c r="D729" s="57"/>
      <c r="E729" s="57"/>
      <c r="F729" s="57"/>
      <c r="G729" s="57"/>
      <c r="H729" s="58"/>
      <c r="I729" s="54"/>
      <c r="J729" s="59"/>
      <c r="K729" s="38"/>
      <c r="L729" s="38"/>
      <c r="M729" s="38"/>
      <c r="N729" s="38"/>
      <c r="O729" s="38"/>
      <c r="P729" s="38"/>
      <c r="Q729" s="38"/>
      <c r="R729" s="38"/>
      <c r="S729" s="38"/>
      <c r="T729" s="38"/>
      <c r="U729" s="38"/>
      <c r="V729" s="38"/>
      <c r="W729" s="38"/>
      <c r="X729" s="53"/>
      <c r="Y729" s="42"/>
      <c r="Z729" s="42"/>
      <c r="AA729" s="42"/>
    </row>
    <row r="730" ht="13.75" customHeight="1">
      <c r="A730" s="14" t="s">
        <v>140</v>
      </c>
      <c r="B730" s="56"/>
      <c r="C730" s="57"/>
      <c r="D730" s="57"/>
      <c r="E730" s="57"/>
      <c r="F730" s="57"/>
      <c r="G730" s="57"/>
      <c r="H730" s="58"/>
      <c r="I730" s="54"/>
      <c r="J730" s="59"/>
      <c r="K730" s="38"/>
      <c r="L730" s="38"/>
      <c r="M730" s="38"/>
      <c r="N730" s="38"/>
      <c r="O730" s="38"/>
      <c r="P730" s="38"/>
      <c r="Q730" s="38"/>
      <c r="R730" s="38"/>
      <c r="S730" s="38"/>
      <c r="T730" s="38"/>
      <c r="U730" s="38"/>
      <c r="V730" s="38"/>
      <c r="W730" s="38"/>
      <c r="X730" s="53"/>
      <c r="Y730" s="42"/>
      <c r="Z730" s="42"/>
      <c r="AA730" s="42"/>
    </row>
    <row r="731" ht="13.75" customHeight="1">
      <c r="A731" s="14" t="s">
        <v>140</v>
      </c>
      <c r="B731" s="56"/>
      <c r="C731" s="57"/>
      <c r="D731" s="57"/>
      <c r="E731" s="57"/>
      <c r="F731" s="57"/>
      <c r="G731" s="57"/>
      <c r="H731" s="58"/>
      <c r="I731" s="54"/>
      <c r="J731" s="59"/>
      <c r="K731" s="38"/>
      <c r="L731" s="38"/>
      <c r="M731" s="38"/>
      <c r="N731" s="38"/>
      <c r="O731" s="38"/>
      <c r="P731" s="38"/>
      <c r="Q731" s="38"/>
      <c r="R731" s="38"/>
      <c r="S731" s="38"/>
      <c r="T731" s="38"/>
      <c r="U731" s="38"/>
      <c r="V731" s="38"/>
      <c r="W731" s="38"/>
      <c r="X731" s="53"/>
      <c r="Y731" s="42"/>
      <c r="Z731" s="42"/>
      <c r="AA731" s="42"/>
    </row>
    <row r="732" ht="13.75" customHeight="1">
      <c r="A732" s="14" t="s">
        <v>140</v>
      </c>
      <c r="B732" s="56"/>
      <c r="C732" s="57"/>
      <c r="D732" s="57"/>
      <c r="E732" s="57"/>
      <c r="F732" s="57"/>
      <c r="G732" s="57"/>
      <c r="H732" s="58"/>
      <c r="I732" s="54"/>
      <c r="J732" s="59"/>
      <c r="K732" s="38"/>
      <c r="L732" s="38"/>
      <c r="M732" s="38"/>
      <c r="N732" s="38"/>
      <c r="O732" s="38"/>
      <c r="P732" s="38"/>
      <c r="Q732" s="38"/>
      <c r="R732" s="38"/>
      <c r="S732" s="38"/>
      <c r="T732" s="38"/>
      <c r="U732" s="38"/>
      <c r="V732" s="38"/>
      <c r="W732" s="38"/>
      <c r="X732" s="53"/>
      <c r="Y732" s="42"/>
      <c r="Z732" s="42"/>
      <c r="AA732" s="42"/>
    </row>
    <row r="733" ht="13.75" customHeight="1">
      <c r="A733" s="14" t="s">
        <v>140</v>
      </c>
      <c r="B733" s="56"/>
      <c r="C733" s="57"/>
      <c r="D733" s="57"/>
      <c r="E733" s="57"/>
      <c r="F733" s="57"/>
      <c r="G733" s="57"/>
      <c r="H733" s="58"/>
      <c r="I733" s="54"/>
      <c r="J733" s="59"/>
      <c r="K733" s="38"/>
      <c r="L733" s="38"/>
      <c r="M733" s="38"/>
      <c r="N733" s="38"/>
      <c r="O733" s="38"/>
      <c r="P733" s="38"/>
      <c r="Q733" s="38"/>
      <c r="R733" s="38"/>
      <c r="S733" s="38"/>
      <c r="T733" s="38"/>
      <c r="U733" s="38"/>
      <c r="V733" s="38"/>
      <c r="W733" s="38"/>
      <c r="X733" s="53"/>
      <c r="Y733" s="42"/>
      <c r="Z733" s="42"/>
      <c r="AA733" s="42"/>
    </row>
    <row r="734" ht="13.75" customHeight="1">
      <c r="A734" s="14" t="s">
        <v>140</v>
      </c>
      <c r="B734" s="56"/>
      <c r="C734" s="57"/>
      <c r="D734" s="57"/>
      <c r="E734" s="57"/>
      <c r="F734" s="57"/>
      <c r="G734" s="57"/>
      <c r="H734" s="58"/>
      <c r="I734" s="54"/>
      <c r="J734" s="59"/>
      <c r="K734" s="38"/>
      <c r="L734" s="38"/>
      <c r="M734" s="38"/>
      <c r="N734" s="38"/>
      <c r="O734" s="38"/>
      <c r="P734" s="38"/>
      <c r="Q734" s="38"/>
      <c r="R734" s="38"/>
      <c r="S734" s="38"/>
      <c r="T734" s="38"/>
      <c r="U734" s="38"/>
      <c r="V734" s="38"/>
      <c r="W734" s="38"/>
      <c r="X734" s="53"/>
      <c r="Y734" s="42"/>
      <c r="Z734" s="42"/>
      <c r="AA734" s="42"/>
    </row>
    <row r="735" ht="13.75" customHeight="1">
      <c r="A735" s="14" t="s">
        <v>140</v>
      </c>
      <c r="B735" s="56"/>
      <c r="C735" s="57"/>
      <c r="D735" s="57"/>
      <c r="E735" s="57"/>
      <c r="F735" s="57"/>
      <c r="G735" s="57"/>
      <c r="H735" s="58"/>
      <c r="I735" s="54"/>
      <c r="J735" s="59"/>
      <c r="K735" s="38"/>
      <c r="L735" s="38"/>
      <c r="M735" s="38"/>
      <c r="N735" s="38"/>
      <c r="O735" s="38"/>
      <c r="P735" s="38"/>
      <c r="Q735" s="38"/>
      <c r="R735" s="38"/>
      <c r="S735" s="38"/>
      <c r="T735" s="38"/>
      <c r="U735" s="38"/>
      <c r="V735" s="38"/>
      <c r="W735" s="38"/>
      <c r="X735" s="53"/>
      <c r="Y735" s="42"/>
      <c r="Z735" s="42"/>
      <c r="AA735" s="42"/>
    </row>
    <row r="736" ht="13.75" customHeight="1">
      <c r="A736" s="14" t="s">
        <v>140</v>
      </c>
      <c r="B736" s="56"/>
      <c r="C736" s="57"/>
      <c r="D736" s="57"/>
      <c r="E736" s="57"/>
      <c r="F736" s="57"/>
      <c r="G736" s="57"/>
      <c r="H736" s="58"/>
      <c r="I736" s="54"/>
      <c r="J736" s="59"/>
      <c r="K736" s="38"/>
      <c r="L736" s="38"/>
      <c r="M736" s="38"/>
      <c r="N736" s="38"/>
      <c r="O736" s="38"/>
      <c r="P736" s="38"/>
      <c r="Q736" s="38"/>
      <c r="R736" s="38"/>
      <c r="S736" s="38"/>
      <c r="T736" s="38"/>
      <c r="U736" s="38"/>
      <c r="V736" s="38"/>
      <c r="W736" s="38"/>
      <c r="X736" s="53"/>
      <c r="Y736" s="42"/>
      <c r="Z736" s="42"/>
      <c r="AA736" s="42"/>
    </row>
    <row r="737" ht="13.75" customHeight="1">
      <c r="A737" s="14" t="s">
        <v>140</v>
      </c>
      <c r="B737" s="56"/>
      <c r="C737" s="57"/>
      <c r="D737" s="57"/>
      <c r="E737" s="57"/>
      <c r="F737" s="57"/>
      <c r="G737" s="57"/>
      <c r="H737" s="58"/>
      <c r="I737" s="54"/>
      <c r="J737" s="59"/>
      <c r="K737" s="38"/>
      <c r="L737" s="38"/>
      <c r="M737" s="38"/>
      <c r="N737" s="38"/>
      <c r="O737" s="38"/>
      <c r="P737" s="38"/>
      <c r="Q737" s="38"/>
      <c r="R737" s="38"/>
      <c r="S737" s="38"/>
      <c r="T737" s="38"/>
      <c r="U737" s="38"/>
      <c r="V737" s="38"/>
      <c r="W737" s="38"/>
      <c r="X737" s="53"/>
      <c r="Y737" s="42"/>
      <c r="Z737" s="42"/>
      <c r="AA737" s="42"/>
    </row>
    <row r="738" ht="13.75" customHeight="1">
      <c r="A738" s="14" t="s">
        <v>140</v>
      </c>
      <c r="B738" s="56"/>
      <c r="C738" s="57"/>
      <c r="D738" s="57"/>
      <c r="E738" s="57"/>
      <c r="F738" s="57"/>
      <c r="G738" s="57"/>
      <c r="H738" s="58"/>
      <c r="I738" s="54"/>
      <c r="J738" s="59"/>
      <c r="K738" s="38"/>
      <c r="L738" s="38"/>
      <c r="M738" s="38"/>
      <c r="N738" s="38"/>
      <c r="O738" s="38"/>
      <c r="P738" s="38"/>
      <c r="Q738" s="38"/>
      <c r="R738" s="38"/>
      <c r="S738" s="38"/>
      <c r="T738" s="38"/>
      <c r="U738" s="38"/>
      <c r="V738" s="38"/>
      <c r="W738" s="38"/>
      <c r="X738" s="53"/>
      <c r="Y738" s="42"/>
      <c r="Z738" s="42"/>
      <c r="AA738" s="42"/>
    </row>
    <row r="739" ht="13.75" customHeight="1">
      <c r="A739" s="14" t="s">
        <v>140</v>
      </c>
      <c r="B739" s="56"/>
      <c r="C739" s="57"/>
      <c r="D739" s="57"/>
      <c r="E739" s="57"/>
      <c r="F739" s="57"/>
      <c r="G739" s="57"/>
      <c r="H739" s="58"/>
      <c r="I739" s="54"/>
      <c r="J739" s="59"/>
      <c r="K739" s="38"/>
      <c r="L739" s="38"/>
      <c r="M739" s="38"/>
      <c r="N739" s="38"/>
      <c r="O739" s="38"/>
      <c r="P739" s="38"/>
      <c r="Q739" s="38"/>
      <c r="R739" s="38"/>
      <c r="S739" s="38"/>
      <c r="T739" s="38"/>
      <c r="U739" s="38"/>
      <c r="V739" s="38"/>
      <c r="W739" s="38"/>
      <c r="X739" s="53"/>
      <c r="Y739" s="42"/>
      <c r="Z739" s="42"/>
      <c r="AA739" s="42"/>
    </row>
    <row r="740" ht="13.75" customHeight="1">
      <c r="A740" s="14" t="s">
        <v>140</v>
      </c>
      <c r="B740" s="56"/>
      <c r="C740" s="57"/>
      <c r="D740" s="57"/>
      <c r="E740" s="57"/>
      <c r="F740" s="57"/>
      <c r="G740" s="57"/>
      <c r="H740" s="58"/>
      <c r="I740" s="54"/>
      <c r="J740" s="59"/>
      <c r="K740" s="38"/>
      <c r="L740" s="38"/>
      <c r="M740" s="38"/>
      <c r="N740" s="38"/>
      <c r="O740" s="38"/>
      <c r="P740" s="38"/>
      <c r="Q740" s="38"/>
      <c r="R740" s="38"/>
      <c r="S740" s="38"/>
      <c r="T740" s="38"/>
      <c r="U740" s="38"/>
      <c r="V740" s="38"/>
      <c r="W740" s="38"/>
      <c r="X740" s="53"/>
      <c r="Y740" s="42"/>
      <c r="Z740" s="42"/>
      <c r="AA740" s="42"/>
    </row>
    <row r="741" ht="13.75" customHeight="1">
      <c r="A741" s="14" t="s">
        <v>140</v>
      </c>
      <c r="B741" s="56"/>
      <c r="C741" s="57"/>
      <c r="D741" s="57"/>
      <c r="E741" s="57"/>
      <c r="F741" s="57"/>
      <c r="G741" s="57"/>
      <c r="H741" s="58"/>
      <c r="I741" s="54"/>
      <c r="J741" s="59"/>
      <c r="K741" s="38"/>
      <c r="L741" s="38"/>
      <c r="M741" s="38"/>
      <c r="N741" s="38"/>
      <c r="O741" s="38"/>
      <c r="P741" s="38"/>
      <c r="Q741" s="38"/>
      <c r="R741" s="38"/>
      <c r="S741" s="38"/>
      <c r="T741" s="38"/>
      <c r="U741" s="38"/>
      <c r="V741" s="38"/>
      <c r="W741" s="38"/>
      <c r="X741" s="53"/>
      <c r="Y741" s="42"/>
      <c r="Z741" s="42"/>
      <c r="AA741" s="42"/>
    </row>
    <row r="742" ht="13.75" customHeight="1">
      <c r="A742" s="14" t="s">
        <v>140</v>
      </c>
      <c r="B742" s="56"/>
      <c r="C742" s="57"/>
      <c r="D742" s="57"/>
      <c r="E742" s="57"/>
      <c r="F742" s="57"/>
      <c r="G742" s="57"/>
      <c r="H742" s="58"/>
      <c r="I742" s="54"/>
      <c r="J742" s="59"/>
      <c r="K742" s="38"/>
      <c r="L742" s="38"/>
      <c r="M742" s="38"/>
      <c r="N742" s="38"/>
      <c r="O742" s="38"/>
      <c r="P742" s="38"/>
      <c r="Q742" s="38"/>
      <c r="R742" s="38"/>
      <c r="S742" s="38"/>
      <c r="T742" s="38"/>
      <c r="U742" s="38"/>
      <c r="V742" s="38"/>
      <c r="W742" s="38"/>
      <c r="X742" s="53"/>
      <c r="Y742" s="42"/>
      <c r="Z742" s="42"/>
      <c r="AA742" s="42"/>
    </row>
    <row r="743" ht="13.75" customHeight="1">
      <c r="A743" s="14" t="s">
        <v>140</v>
      </c>
      <c r="B743" s="56"/>
      <c r="C743" s="57"/>
      <c r="D743" s="57"/>
      <c r="E743" s="57"/>
      <c r="F743" s="57"/>
      <c r="G743" s="57"/>
      <c r="H743" s="58"/>
      <c r="I743" s="54"/>
      <c r="J743" s="59"/>
      <c r="K743" s="38"/>
      <c r="L743" s="38"/>
      <c r="M743" s="38"/>
      <c r="N743" s="38"/>
      <c r="O743" s="38"/>
      <c r="P743" s="38"/>
      <c r="Q743" s="38"/>
      <c r="R743" s="38"/>
      <c r="S743" s="38"/>
      <c r="T743" s="38"/>
      <c r="U743" s="38"/>
      <c r="V743" s="38"/>
      <c r="W743" s="38"/>
      <c r="X743" s="53"/>
      <c r="Y743" s="42"/>
      <c r="Z743" s="42"/>
      <c r="AA743" s="42"/>
    </row>
    <row r="744" ht="13.75" customHeight="1">
      <c r="A744" s="14" t="s">
        <v>140</v>
      </c>
      <c r="B744" s="56"/>
      <c r="C744" s="57"/>
      <c r="D744" s="57"/>
      <c r="E744" s="57"/>
      <c r="F744" s="57"/>
      <c r="G744" s="57"/>
      <c r="H744" s="58"/>
      <c r="I744" s="54"/>
      <c r="J744" s="59"/>
      <c r="K744" s="38"/>
      <c r="L744" s="38"/>
      <c r="M744" s="38"/>
      <c r="N744" s="38"/>
      <c r="O744" s="38"/>
      <c r="P744" s="38"/>
      <c r="Q744" s="38"/>
      <c r="R744" s="38"/>
      <c r="S744" s="38"/>
      <c r="T744" s="38"/>
      <c r="U744" s="38"/>
      <c r="V744" s="38"/>
      <c r="W744" s="38"/>
      <c r="X744" s="53"/>
      <c r="Y744" s="42"/>
      <c r="Z744" s="42"/>
      <c r="AA744" s="42"/>
    </row>
    <row r="745" ht="13.75" customHeight="1">
      <c r="A745" s="14" t="s">
        <v>140</v>
      </c>
      <c r="B745" s="56"/>
      <c r="C745" s="57"/>
      <c r="D745" s="57"/>
      <c r="E745" s="57"/>
      <c r="F745" s="57"/>
      <c r="G745" s="57"/>
      <c r="H745" s="58"/>
      <c r="I745" s="54"/>
      <c r="J745" s="59"/>
      <c r="K745" s="38"/>
      <c r="L745" s="38"/>
      <c r="M745" s="38"/>
      <c r="N745" s="38"/>
      <c r="O745" s="38"/>
      <c r="P745" s="38"/>
      <c r="Q745" s="38"/>
      <c r="R745" s="38"/>
      <c r="S745" s="38"/>
      <c r="T745" s="38"/>
      <c r="U745" s="38"/>
      <c r="V745" s="38"/>
      <c r="W745" s="38"/>
      <c r="X745" s="53"/>
      <c r="Y745" s="42"/>
      <c r="Z745" s="42"/>
      <c r="AA745" s="42"/>
    </row>
    <row r="746" ht="13.75" customHeight="1">
      <c r="A746" s="14" t="s">
        <v>140</v>
      </c>
      <c r="B746" s="56"/>
      <c r="C746" s="57"/>
      <c r="D746" s="57"/>
      <c r="E746" s="57"/>
      <c r="F746" s="57"/>
      <c r="G746" s="57"/>
      <c r="H746" s="58"/>
      <c r="I746" s="54"/>
      <c r="J746" s="59"/>
      <c r="K746" s="38"/>
      <c r="L746" s="38"/>
      <c r="M746" s="38"/>
      <c r="N746" s="38"/>
      <c r="O746" s="38"/>
      <c r="P746" s="38"/>
      <c r="Q746" s="38"/>
      <c r="R746" s="38"/>
      <c r="S746" s="38"/>
      <c r="T746" s="38"/>
      <c r="U746" s="38"/>
      <c r="V746" s="38"/>
      <c r="W746" s="38"/>
      <c r="X746" s="53"/>
      <c r="Y746" s="42"/>
      <c r="Z746" s="42"/>
      <c r="AA746" s="42"/>
    </row>
    <row r="747" ht="13.75" customHeight="1">
      <c r="A747" s="14" t="s">
        <v>140</v>
      </c>
      <c r="B747" s="56"/>
      <c r="C747" s="57"/>
      <c r="D747" s="57"/>
      <c r="E747" s="57"/>
      <c r="F747" s="57"/>
      <c r="G747" s="57"/>
      <c r="H747" s="58"/>
      <c r="I747" s="54"/>
      <c r="J747" s="59"/>
      <c r="K747" s="38"/>
      <c r="L747" s="38"/>
      <c r="M747" s="38"/>
      <c r="N747" s="38"/>
      <c r="O747" s="38"/>
      <c r="P747" s="38"/>
      <c r="Q747" s="38"/>
      <c r="R747" s="38"/>
      <c r="S747" s="38"/>
      <c r="T747" s="38"/>
      <c r="U747" s="38"/>
      <c r="V747" s="38"/>
      <c r="W747" s="38"/>
      <c r="X747" s="53"/>
      <c r="Y747" s="42"/>
      <c r="Z747" s="42"/>
      <c r="AA747" s="42"/>
    </row>
    <row r="748" ht="13.75" customHeight="1">
      <c r="A748" s="14" t="s">
        <v>140</v>
      </c>
      <c r="B748" s="56"/>
      <c r="C748" s="57"/>
      <c r="D748" s="57"/>
      <c r="E748" s="57"/>
      <c r="F748" s="57"/>
      <c r="G748" s="57"/>
      <c r="H748" s="58"/>
      <c r="I748" s="54"/>
      <c r="J748" s="59"/>
      <c r="K748" s="38"/>
      <c r="L748" s="38"/>
      <c r="M748" s="38"/>
      <c r="N748" s="38"/>
      <c r="O748" s="38"/>
      <c r="P748" s="38"/>
      <c r="Q748" s="38"/>
      <c r="R748" s="38"/>
      <c r="S748" s="38"/>
      <c r="T748" s="38"/>
      <c r="U748" s="38"/>
      <c r="V748" s="38"/>
      <c r="W748" s="38"/>
      <c r="X748" s="53"/>
      <c r="Y748" s="42"/>
      <c r="Z748" s="42"/>
      <c r="AA748" s="42"/>
    </row>
    <row r="749" ht="13.75" customHeight="1">
      <c r="A749" s="14" t="s">
        <v>140</v>
      </c>
      <c r="B749" s="56"/>
      <c r="C749" s="57"/>
      <c r="D749" s="57"/>
      <c r="E749" s="57"/>
      <c r="F749" s="57"/>
      <c r="G749" s="57"/>
      <c r="H749" s="58"/>
      <c r="I749" s="54"/>
      <c r="J749" s="59"/>
      <c r="K749" s="38"/>
      <c r="L749" s="38"/>
      <c r="M749" s="38"/>
      <c r="N749" s="38"/>
      <c r="O749" s="38"/>
      <c r="P749" s="38"/>
      <c r="Q749" s="38"/>
      <c r="R749" s="38"/>
      <c r="S749" s="38"/>
      <c r="T749" s="38"/>
      <c r="U749" s="38"/>
      <c r="V749" s="38"/>
      <c r="W749" s="38"/>
      <c r="X749" s="53"/>
      <c r="Y749" s="42"/>
      <c r="Z749" s="42"/>
      <c r="AA749" s="42"/>
    </row>
    <row r="750" ht="13.75" customHeight="1">
      <c r="A750" s="14" t="s">
        <v>140</v>
      </c>
      <c r="B750" s="56"/>
      <c r="C750" s="57"/>
      <c r="D750" s="57"/>
      <c r="E750" s="57"/>
      <c r="F750" s="57"/>
      <c r="G750" s="57"/>
      <c r="H750" s="58"/>
      <c r="I750" s="54"/>
      <c r="J750" s="59"/>
      <c r="K750" s="38"/>
      <c r="L750" s="38"/>
      <c r="M750" s="38"/>
      <c r="N750" s="38"/>
      <c r="O750" s="38"/>
      <c r="P750" s="38"/>
      <c r="Q750" s="38"/>
      <c r="R750" s="38"/>
      <c r="S750" s="38"/>
      <c r="T750" s="38"/>
      <c r="U750" s="38"/>
      <c r="V750" s="38"/>
      <c r="W750" s="38"/>
      <c r="X750" s="53"/>
      <c r="Y750" s="42"/>
      <c r="Z750" s="42"/>
      <c r="AA750" s="42"/>
    </row>
    <row r="751" ht="13.75" customHeight="1">
      <c r="A751" s="14" t="s">
        <v>140</v>
      </c>
      <c r="B751" s="56"/>
      <c r="C751" s="57"/>
      <c r="D751" s="57"/>
      <c r="E751" s="57"/>
      <c r="F751" s="57"/>
      <c r="G751" s="57"/>
      <c r="H751" s="58"/>
      <c r="I751" s="54"/>
      <c r="J751" s="59"/>
      <c r="K751" s="38"/>
      <c r="L751" s="38"/>
      <c r="M751" s="38"/>
      <c r="N751" s="38"/>
      <c r="O751" s="38"/>
      <c r="P751" s="38"/>
      <c r="Q751" s="38"/>
      <c r="R751" s="38"/>
      <c r="S751" s="38"/>
      <c r="T751" s="38"/>
      <c r="U751" s="38"/>
      <c r="V751" s="38"/>
      <c r="W751" s="38"/>
      <c r="X751" s="53"/>
      <c r="Y751" s="42"/>
      <c r="Z751" s="42"/>
      <c r="AA751" s="42"/>
    </row>
    <row r="752" ht="13.75" customHeight="1">
      <c r="A752" s="14" t="s">
        <v>140</v>
      </c>
      <c r="B752" s="56"/>
      <c r="C752" s="57"/>
      <c r="D752" s="57"/>
      <c r="E752" s="57"/>
      <c r="F752" s="57"/>
      <c r="G752" s="57"/>
      <c r="H752" s="58"/>
      <c r="I752" s="54"/>
      <c r="J752" s="59"/>
      <c r="K752" s="38"/>
      <c r="L752" s="38"/>
      <c r="M752" s="38"/>
      <c r="N752" s="38"/>
      <c r="O752" s="38"/>
      <c r="P752" s="38"/>
      <c r="Q752" s="38"/>
      <c r="R752" s="38"/>
      <c r="S752" s="38"/>
      <c r="T752" s="38"/>
      <c r="U752" s="38"/>
      <c r="V752" s="38"/>
      <c r="W752" s="38"/>
      <c r="X752" s="53"/>
      <c r="Y752" s="42"/>
      <c r="Z752" s="42"/>
      <c r="AA752" s="42"/>
    </row>
    <row r="753" ht="13.75" customHeight="1">
      <c r="A753" s="14" t="s">
        <v>140</v>
      </c>
      <c r="B753" s="56"/>
      <c r="C753" s="57"/>
      <c r="D753" s="57"/>
      <c r="E753" s="57"/>
      <c r="F753" s="57"/>
      <c r="G753" s="57"/>
      <c r="H753" s="58"/>
      <c r="I753" s="54"/>
      <c r="J753" s="59"/>
      <c r="K753" s="38"/>
      <c r="L753" s="38"/>
      <c r="M753" s="38"/>
      <c r="N753" s="38"/>
      <c r="O753" s="38"/>
      <c r="P753" s="38"/>
      <c r="Q753" s="38"/>
      <c r="R753" s="38"/>
      <c r="S753" s="38"/>
      <c r="T753" s="38"/>
      <c r="U753" s="38"/>
      <c r="V753" s="38"/>
      <c r="W753" s="38"/>
      <c r="X753" s="53"/>
      <c r="Y753" s="42"/>
      <c r="Z753" s="42"/>
      <c r="AA753" s="42"/>
    </row>
    <row r="754" ht="13.75" customHeight="1">
      <c r="A754" s="14" t="s">
        <v>140</v>
      </c>
      <c r="B754" s="56"/>
      <c r="C754" s="57"/>
      <c r="D754" s="57"/>
      <c r="E754" s="57"/>
      <c r="F754" s="57"/>
      <c r="G754" s="57"/>
      <c r="H754" s="58"/>
      <c r="I754" s="54"/>
      <c r="J754" s="59"/>
      <c r="K754" s="38"/>
      <c r="L754" s="38"/>
      <c r="M754" s="38"/>
      <c r="N754" s="38"/>
      <c r="O754" s="38"/>
      <c r="P754" s="38"/>
      <c r="Q754" s="38"/>
      <c r="R754" s="38"/>
      <c r="S754" s="38"/>
      <c r="T754" s="38"/>
      <c r="U754" s="38"/>
      <c r="V754" s="38"/>
      <c r="W754" s="38"/>
      <c r="X754" s="53"/>
      <c r="Y754" s="42"/>
      <c r="Z754" s="42"/>
      <c r="AA754" s="42"/>
    </row>
    <row r="755" ht="13.75" customHeight="1">
      <c r="A755" s="14" t="s">
        <v>140</v>
      </c>
      <c r="B755" s="56"/>
      <c r="C755" s="57"/>
      <c r="D755" s="57"/>
      <c r="E755" s="57"/>
      <c r="F755" s="57"/>
      <c r="G755" s="57"/>
      <c r="H755" s="58"/>
      <c r="I755" s="54"/>
      <c r="J755" s="59"/>
      <c r="K755" s="38"/>
      <c r="L755" s="38"/>
      <c r="M755" s="38"/>
      <c r="N755" s="38"/>
      <c r="O755" s="38"/>
      <c r="P755" s="38"/>
      <c r="Q755" s="38"/>
      <c r="R755" s="38"/>
      <c r="S755" s="38"/>
      <c r="T755" s="38"/>
      <c r="U755" s="38"/>
      <c r="V755" s="38"/>
      <c r="W755" s="38"/>
      <c r="X755" s="53"/>
      <c r="Y755" s="42"/>
      <c r="Z755" s="42"/>
      <c r="AA755" s="42"/>
    </row>
    <row r="756" ht="13.75" customHeight="1">
      <c r="A756" s="14" t="s">
        <v>140</v>
      </c>
      <c r="B756" s="56"/>
      <c r="C756" s="57"/>
      <c r="D756" s="57"/>
      <c r="E756" s="57"/>
      <c r="F756" s="57"/>
      <c r="G756" s="57"/>
      <c r="H756" s="58"/>
      <c r="I756" s="54"/>
      <c r="J756" s="59"/>
      <c r="K756" s="38"/>
      <c r="L756" s="38"/>
      <c r="M756" s="38"/>
      <c r="N756" s="38"/>
      <c r="O756" s="38"/>
      <c r="P756" s="38"/>
      <c r="Q756" s="38"/>
      <c r="R756" s="38"/>
      <c r="S756" s="38"/>
      <c r="T756" s="38"/>
      <c r="U756" s="38"/>
      <c r="V756" s="38"/>
      <c r="W756" s="38"/>
      <c r="X756" s="53"/>
      <c r="Y756" s="42"/>
      <c r="Z756" s="42"/>
      <c r="AA756" s="42"/>
    </row>
    <row r="757" ht="13.75" customHeight="1">
      <c r="A757" s="14" t="s">
        <v>140</v>
      </c>
      <c r="B757" s="56"/>
      <c r="C757" s="57"/>
      <c r="D757" s="57"/>
      <c r="E757" s="57"/>
      <c r="F757" s="57"/>
      <c r="G757" s="57"/>
      <c r="H757" s="58"/>
      <c r="I757" s="54"/>
      <c r="J757" s="59"/>
      <c r="K757" s="38"/>
      <c r="L757" s="38"/>
      <c r="M757" s="38"/>
      <c r="N757" s="38"/>
      <c r="O757" s="38"/>
      <c r="P757" s="38"/>
      <c r="Q757" s="38"/>
      <c r="R757" s="38"/>
      <c r="S757" s="38"/>
      <c r="T757" s="38"/>
      <c r="U757" s="38"/>
      <c r="V757" s="38"/>
      <c r="W757" s="38"/>
      <c r="X757" s="53"/>
      <c r="Y757" s="42"/>
      <c r="Z757" s="42"/>
      <c r="AA757" s="42"/>
    </row>
    <row r="758" ht="13.75" customHeight="1">
      <c r="A758" s="14" t="s">
        <v>140</v>
      </c>
      <c r="B758" s="56"/>
      <c r="C758" s="57"/>
      <c r="D758" s="57"/>
      <c r="E758" s="57"/>
      <c r="F758" s="57"/>
      <c r="G758" s="57"/>
      <c r="H758" s="58"/>
      <c r="I758" s="54"/>
      <c r="J758" s="59"/>
      <c r="K758" s="38"/>
      <c r="L758" s="38"/>
      <c r="M758" s="38"/>
      <c r="N758" s="38"/>
      <c r="O758" s="38"/>
      <c r="P758" s="38"/>
      <c r="Q758" s="38"/>
      <c r="R758" s="38"/>
      <c r="S758" s="38"/>
      <c r="T758" s="38"/>
      <c r="U758" s="38"/>
      <c r="V758" s="38"/>
      <c r="W758" s="38"/>
      <c r="X758" s="53"/>
      <c r="Y758" s="42"/>
      <c r="Z758" s="42"/>
      <c r="AA758" s="42"/>
    </row>
    <row r="759" ht="13.75" customHeight="1">
      <c r="A759" s="14" t="s">
        <v>140</v>
      </c>
      <c r="B759" s="56"/>
      <c r="C759" s="57"/>
      <c r="D759" s="57"/>
      <c r="E759" s="57"/>
      <c r="F759" s="57"/>
      <c r="G759" s="57"/>
      <c r="H759" s="58"/>
      <c r="I759" s="54"/>
      <c r="J759" s="59"/>
      <c r="K759" s="38"/>
      <c r="L759" s="38"/>
      <c r="M759" s="38"/>
      <c r="N759" s="38"/>
      <c r="O759" s="38"/>
      <c r="P759" s="38"/>
      <c r="Q759" s="38"/>
      <c r="R759" s="38"/>
      <c r="S759" s="38"/>
      <c r="T759" s="38"/>
      <c r="U759" s="38"/>
      <c r="V759" s="38"/>
      <c r="W759" s="38"/>
      <c r="X759" s="53"/>
      <c r="Y759" s="42"/>
      <c r="Z759" s="42"/>
      <c r="AA759" s="42"/>
    </row>
    <row r="760" ht="13.75" customHeight="1">
      <c r="A760" s="14" t="s">
        <v>140</v>
      </c>
      <c r="B760" s="56"/>
      <c r="C760" s="57"/>
      <c r="D760" s="57"/>
      <c r="E760" s="57"/>
      <c r="F760" s="57"/>
      <c r="G760" s="57"/>
      <c r="H760" s="58"/>
      <c r="I760" s="54"/>
      <c r="J760" s="59"/>
      <c r="K760" s="38"/>
      <c r="L760" s="38"/>
      <c r="M760" s="38"/>
      <c r="N760" s="38"/>
      <c r="O760" s="38"/>
      <c r="P760" s="38"/>
      <c r="Q760" s="38"/>
      <c r="R760" s="38"/>
      <c r="S760" s="38"/>
      <c r="T760" s="38"/>
      <c r="U760" s="38"/>
      <c r="V760" s="38"/>
      <c r="W760" s="38"/>
      <c r="X760" s="53"/>
      <c r="Y760" s="42"/>
      <c r="Z760" s="42"/>
      <c r="AA760" s="42"/>
    </row>
    <row r="761" ht="13.75" customHeight="1">
      <c r="A761" s="14" t="s">
        <v>140</v>
      </c>
      <c r="B761" s="56"/>
      <c r="C761" s="57"/>
      <c r="D761" s="57"/>
      <c r="E761" s="57"/>
      <c r="F761" s="57"/>
      <c r="G761" s="57"/>
      <c r="H761" s="58"/>
      <c r="I761" s="54"/>
      <c r="J761" s="59"/>
      <c r="K761" s="38"/>
      <c r="L761" s="38"/>
      <c r="M761" s="38"/>
      <c r="N761" s="38"/>
      <c r="O761" s="38"/>
      <c r="P761" s="38"/>
      <c r="Q761" s="38"/>
      <c r="R761" s="38"/>
      <c r="S761" s="38"/>
      <c r="T761" s="38"/>
      <c r="U761" s="38"/>
      <c r="V761" s="38"/>
      <c r="W761" s="38"/>
      <c r="X761" s="53"/>
      <c r="Y761" s="42"/>
      <c r="Z761" s="42"/>
      <c r="AA761" s="42"/>
    </row>
    <row r="762" ht="13.75" customHeight="1">
      <c r="A762" s="14" t="s">
        <v>140</v>
      </c>
      <c r="B762" s="56"/>
      <c r="C762" s="57"/>
      <c r="D762" s="57"/>
      <c r="E762" s="57"/>
      <c r="F762" s="57"/>
      <c r="G762" s="57"/>
      <c r="H762" s="58"/>
      <c r="I762" s="54"/>
      <c r="J762" s="59"/>
      <c r="K762" s="38"/>
      <c r="L762" s="38"/>
      <c r="M762" s="38"/>
      <c r="N762" s="38"/>
      <c r="O762" s="38"/>
      <c r="P762" s="38"/>
      <c r="Q762" s="38"/>
      <c r="R762" s="38"/>
      <c r="S762" s="38"/>
      <c r="T762" s="38"/>
      <c r="U762" s="38"/>
      <c r="V762" s="38"/>
      <c r="W762" s="38"/>
      <c r="X762" s="53"/>
      <c r="Y762" s="42"/>
      <c r="Z762" s="42"/>
      <c r="AA762" s="42"/>
    </row>
    <row r="763" ht="13.75" customHeight="1">
      <c r="A763" s="14" t="s">
        <v>140</v>
      </c>
      <c r="B763" s="56"/>
      <c r="C763" s="57"/>
      <c r="D763" s="57"/>
      <c r="E763" s="57"/>
      <c r="F763" s="57"/>
      <c r="G763" s="57"/>
      <c r="H763" s="58"/>
      <c r="I763" s="54"/>
      <c r="J763" s="59"/>
      <c r="K763" s="38"/>
      <c r="L763" s="38"/>
      <c r="M763" s="38"/>
      <c r="N763" s="38"/>
      <c r="O763" s="38"/>
      <c r="P763" s="38"/>
      <c r="Q763" s="38"/>
      <c r="R763" s="38"/>
      <c r="S763" s="38"/>
      <c r="T763" s="38"/>
      <c r="U763" s="38"/>
      <c r="V763" s="38"/>
      <c r="W763" s="38"/>
      <c r="X763" s="53"/>
      <c r="Y763" s="42"/>
      <c r="Z763" s="42"/>
      <c r="AA763" s="42"/>
    </row>
    <row r="764" ht="13.75" customHeight="1">
      <c r="A764" s="14" t="s">
        <v>140</v>
      </c>
      <c r="B764" s="56"/>
      <c r="C764" s="57"/>
      <c r="D764" s="57"/>
      <c r="E764" s="57"/>
      <c r="F764" s="57"/>
      <c r="G764" s="57"/>
      <c r="H764" s="58"/>
      <c r="I764" s="54"/>
      <c r="J764" s="59"/>
      <c r="K764" s="38"/>
      <c r="L764" s="38"/>
      <c r="M764" s="38"/>
      <c r="N764" s="38"/>
      <c r="O764" s="38"/>
      <c r="P764" s="38"/>
      <c r="Q764" s="38"/>
      <c r="R764" s="38"/>
      <c r="S764" s="38"/>
      <c r="T764" s="38"/>
      <c r="U764" s="38"/>
      <c r="V764" s="38"/>
      <c r="W764" s="38"/>
      <c r="X764" s="53"/>
      <c r="Y764" s="42"/>
      <c r="Z764" s="42"/>
      <c r="AA764" s="42"/>
    </row>
    <row r="765" ht="13.75" customHeight="1">
      <c r="A765" s="14" t="s">
        <v>140</v>
      </c>
      <c r="B765" s="56"/>
      <c r="C765" s="57"/>
      <c r="D765" s="57"/>
      <c r="E765" s="57"/>
      <c r="F765" s="57"/>
      <c r="G765" s="57"/>
      <c r="H765" s="58"/>
      <c r="I765" s="54"/>
      <c r="J765" s="59"/>
      <c r="K765" s="38"/>
      <c r="L765" s="38"/>
      <c r="M765" s="38"/>
      <c r="N765" s="38"/>
      <c r="O765" s="38"/>
      <c r="P765" s="38"/>
      <c r="Q765" s="38"/>
      <c r="R765" s="38"/>
      <c r="S765" s="38"/>
      <c r="T765" s="38"/>
      <c r="U765" s="38"/>
      <c r="V765" s="38"/>
      <c r="W765" s="38"/>
      <c r="X765" s="53"/>
      <c r="Y765" s="42"/>
      <c r="Z765" s="42"/>
      <c r="AA765" s="42"/>
    </row>
    <row r="766" ht="13.75" customHeight="1">
      <c r="A766" s="14" t="s">
        <v>140</v>
      </c>
      <c r="B766" s="56"/>
      <c r="C766" s="57"/>
      <c r="D766" s="57"/>
      <c r="E766" s="57"/>
      <c r="F766" s="57"/>
      <c r="G766" s="57"/>
      <c r="H766" s="58"/>
      <c r="I766" s="54"/>
      <c r="J766" s="59"/>
      <c r="K766" s="38"/>
      <c r="L766" s="38"/>
      <c r="M766" s="38"/>
      <c r="N766" s="38"/>
      <c r="O766" s="38"/>
      <c r="P766" s="38"/>
      <c r="Q766" s="38"/>
      <c r="R766" s="38"/>
      <c r="S766" s="38"/>
      <c r="T766" s="38"/>
      <c r="U766" s="38"/>
      <c r="V766" s="38"/>
      <c r="W766" s="38"/>
      <c r="X766" s="53"/>
      <c r="Y766" s="42"/>
      <c r="Z766" s="42"/>
      <c r="AA766" s="42"/>
    </row>
    <row r="767" ht="13.75" customHeight="1">
      <c r="A767" s="14" t="s">
        <v>140</v>
      </c>
      <c r="B767" s="56"/>
      <c r="C767" s="57"/>
      <c r="D767" s="57"/>
      <c r="E767" s="57"/>
      <c r="F767" s="57"/>
      <c r="G767" s="57"/>
      <c r="H767" s="58"/>
      <c r="I767" s="54"/>
      <c r="J767" s="59"/>
      <c r="K767" s="38"/>
      <c r="L767" s="38"/>
      <c r="M767" s="38"/>
      <c r="N767" s="38"/>
      <c r="O767" s="38"/>
      <c r="P767" s="38"/>
      <c r="Q767" s="38"/>
      <c r="R767" s="38"/>
      <c r="S767" s="38"/>
      <c r="T767" s="38"/>
      <c r="U767" s="38"/>
      <c r="V767" s="38"/>
      <c r="W767" s="38"/>
      <c r="X767" s="53"/>
      <c r="Y767" s="42"/>
      <c r="Z767" s="42"/>
      <c r="AA767" s="42"/>
    </row>
    <row r="768" ht="13.75" customHeight="1">
      <c r="A768" s="14" t="s">
        <v>140</v>
      </c>
      <c r="B768" s="56"/>
      <c r="C768" s="57"/>
      <c r="D768" s="57"/>
      <c r="E768" s="57"/>
      <c r="F768" s="57"/>
      <c r="G768" s="57"/>
      <c r="H768" s="58"/>
      <c r="I768" s="54"/>
      <c r="J768" s="59"/>
      <c r="K768" s="38"/>
      <c r="L768" s="38"/>
      <c r="M768" s="38"/>
      <c r="N768" s="38"/>
      <c r="O768" s="38"/>
      <c r="P768" s="38"/>
      <c r="Q768" s="38"/>
      <c r="R768" s="38"/>
      <c r="S768" s="38"/>
      <c r="T768" s="38"/>
      <c r="U768" s="38"/>
      <c r="V768" s="38"/>
      <c r="W768" s="38"/>
      <c r="X768" s="53"/>
      <c r="Y768" s="42"/>
      <c r="Z768" s="42"/>
      <c r="AA768" s="42"/>
    </row>
    <row r="769" ht="13.75" customHeight="1">
      <c r="A769" s="14" t="s">
        <v>140</v>
      </c>
      <c r="B769" s="56"/>
      <c r="C769" s="57"/>
      <c r="D769" s="57"/>
      <c r="E769" s="57"/>
      <c r="F769" s="57"/>
      <c r="G769" s="57"/>
      <c r="H769" s="58"/>
      <c r="I769" s="54"/>
      <c r="J769" s="59"/>
      <c r="K769" s="38"/>
      <c r="L769" s="38"/>
      <c r="M769" s="38"/>
      <c r="N769" s="38"/>
      <c r="O769" s="38"/>
      <c r="P769" s="38"/>
      <c r="Q769" s="38"/>
      <c r="R769" s="38"/>
      <c r="S769" s="38"/>
      <c r="T769" s="38"/>
      <c r="U769" s="38"/>
      <c r="V769" s="38"/>
      <c r="W769" s="38"/>
      <c r="X769" s="53"/>
      <c r="Y769" s="42"/>
      <c r="Z769" s="42"/>
      <c r="AA769" s="42"/>
    </row>
    <row r="770" ht="13.75" customHeight="1">
      <c r="A770" s="14" t="s">
        <v>140</v>
      </c>
      <c r="B770" s="56"/>
      <c r="C770" s="57"/>
      <c r="D770" s="57"/>
      <c r="E770" s="57"/>
      <c r="F770" s="57"/>
      <c r="G770" s="57"/>
      <c r="H770" s="58"/>
      <c r="I770" s="54"/>
      <c r="J770" s="59"/>
      <c r="K770" s="38"/>
      <c r="L770" s="38"/>
      <c r="M770" s="38"/>
      <c r="N770" s="38"/>
      <c r="O770" s="38"/>
      <c r="P770" s="38"/>
      <c r="Q770" s="38"/>
      <c r="R770" s="38"/>
      <c r="S770" s="38"/>
      <c r="T770" s="38"/>
      <c r="U770" s="38"/>
      <c r="V770" s="38"/>
      <c r="W770" s="38"/>
      <c r="X770" s="53"/>
      <c r="Y770" s="42"/>
      <c r="Z770" s="42"/>
      <c r="AA770" s="42"/>
    </row>
    <row r="771" ht="13.75" customHeight="1">
      <c r="A771" s="14" t="s">
        <v>140</v>
      </c>
      <c r="B771" s="56"/>
      <c r="C771" s="57"/>
      <c r="D771" s="57"/>
      <c r="E771" s="57"/>
      <c r="F771" s="57"/>
      <c r="G771" s="57"/>
      <c r="H771" s="58"/>
      <c r="I771" s="54"/>
      <c r="J771" s="59"/>
      <c r="K771" s="38"/>
      <c r="L771" s="38"/>
      <c r="M771" s="38"/>
      <c r="N771" s="38"/>
      <c r="O771" s="38"/>
      <c r="P771" s="38"/>
      <c r="Q771" s="38"/>
      <c r="R771" s="38"/>
      <c r="S771" s="38"/>
      <c r="T771" s="38"/>
      <c r="U771" s="38"/>
      <c r="V771" s="38"/>
      <c r="W771" s="38"/>
      <c r="X771" s="53"/>
      <c r="Y771" s="42"/>
      <c r="Z771" s="42"/>
      <c r="AA771" s="42"/>
    </row>
    <row r="772" ht="13.75" customHeight="1">
      <c r="A772" s="14" t="s">
        <v>140</v>
      </c>
      <c r="B772" s="56"/>
      <c r="C772" s="57"/>
      <c r="D772" s="57"/>
      <c r="E772" s="57"/>
      <c r="F772" s="57"/>
      <c r="G772" s="57"/>
      <c r="H772" s="58"/>
      <c r="I772" s="54"/>
      <c r="J772" s="59"/>
      <c r="K772" s="38"/>
      <c r="L772" s="38"/>
      <c r="M772" s="38"/>
      <c r="N772" s="38"/>
      <c r="O772" s="38"/>
      <c r="P772" s="38"/>
      <c r="Q772" s="38"/>
      <c r="R772" s="38"/>
      <c r="S772" s="38"/>
      <c r="T772" s="38"/>
      <c r="U772" s="38"/>
      <c r="V772" s="38"/>
      <c r="W772" s="38"/>
      <c r="X772" s="53"/>
      <c r="Y772" s="42"/>
      <c r="Z772" s="42"/>
      <c r="AA772" s="42"/>
    </row>
    <row r="773" ht="13.75" customHeight="1">
      <c r="A773" s="14" t="s">
        <v>140</v>
      </c>
      <c r="B773" s="56"/>
      <c r="C773" s="57"/>
      <c r="D773" s="57"/>
      <c r="E773" s="57"/>
      <c r="F773" s="57"/>
      <c r="G773" s="57"/>
      <c r="H773" s="58"/>
      <c r="I773" s="54"/>
      <c r="J773" s="59"/>
      <c r="K773" s="38"/>
      <c r="L773" s="38"/>
      <c r="M773" s="38"/>
      <c r="N773" s="38"/>
      <c r="O773" s="38"/>
      <c r="P773" s="38"/>
      <c r="Q773" s="38"/>
      <c r="R773" s="38"/>
      <c r="S773" s="38"/>
      <c r="T773" s="38"/>
      <c r="U773" s="38"/>
      <c r="V773" s="38"/>
      <c r="W773" s="38"/>
      <c r="X773" s="53"/>
      <c r="Y773" s="42"/>
      <c r="Z773" s="42"/>
      <c r="AA773" s="42"/>
    </row>
    <row r="774" ht="13.75" customHeight="1">
      <c r="A774" s="14" t="s">
        <v>140</v>
      </c>
      <c r="B774" s="56"/>
      <c r="C774" s="57"/>
      <c r="D774" s="57"/>
      <c r="E774" s="57"/>
      <c r="F774" s="57"/>
      <c r="G774" s="57"/>
      <c r="H774" s="58"/>
      <c r="I774" s="54"/>
      <c r="J774" s="59"/>
      <c r="K774" s="38"/>
      <c r="L774" s="38"/>
      <c r="M774" s="38"/>
      <c r="N774" s="38"/>
      <c r="O774" s="38"/>
      <c r="P774" s="38"/>
      <c r="Q774" s="38"/>
      <c r="R774" s="38"/>
      <c r="S774" s="38"/>
      <c r="T774" s="38"/>
      <c r="U774" s="38"/>
      <c r="V774" s="38"/>
      <c r="W774" s="38"/>
      <c r="X774" s="53"/>
      <c r="Y774" s="42"/>
      <c r="Z774" s="42"/>
      <c r="AA774" s="42"/>
    </row>
    <row r="775" ht="13.75" customHeight="1">
      <c r="A775" s="14" t="s">
        <v>140</v>
      </c>
      <c r="B775" s="56"/>
      <c r="C775" s="57"/>
      <c r="D775" s="57"/>
      <c r="E775" s="57"/>
      <c r="F775" s="57"/>
      <c r="G775" s="57"/>
      <c r="H775" s="58"/>
      <c r="I775" s="54"/>
      <c r="J775" s="59"/>
      <c r="K775" s="38"/>
      <c r="L775" s="38"/>
      <c r="M775" s="38"/>
      <c r="N775" s="38"/>
      <c r="O775" s="38"/>
      <c r="P775" s="38"/>
      <c r="Q775" s="38"/>
      <c r="R775" s="38"/>
      <c r="S775" s="38"/>
      <c r="T775" s="38"/>
      <c r="U775" s="38"/>
      <c r="V775" s="38"/>
      <c r="W775" s="38"/>
      <c r="X775" s="53"/>
      <c r="Y775" s="42"/>
      <c r="Z775" s="42"/>
      <c r="AA775" s="42"/>
    </row>
    <row r="776" ht="13.75" customHeight="1">
      <c r="A776" s="14" t="s">
        <v>140</v>
      </c>
      <c r="B776" s="56"/>
      <c r="C776" s="57"/>
      <c r="D776" s="57"/>
      <c r="E776" s="57"/>
      <c r="F776" s="57"/>
      <c r="G776" s="57"/>
      <c r="H776" s="58"/>
      <c r="I776" s="54"/>
      <c r="J776" s="59"/>
      <c r="K776" s="38"/>
      <c r="L776" s="38"/>
      <c r="M776" s="38"/>
      <c r="N776" s="38"/>
      <c r="O776" s="38"/>
      <c r="P776" s="38"/>
      <c r="Q776" s="38"/>
      <c r="R776" s="38"/>
      <c r="S776" s="38"/>
      <c r="T776" s="38"/>
      <c r="U776" s="38"/>
      <c r="V776" s="38"/>
      <c r="W776" s="38"/>
      <c r="X776" s="53"/>
      <c r="Y776" s="42"/>
      <c r="Z776" s="42"/>
      <c r="AA776" s="42"/>
    </row>
    <row r="777" ht="13.75" customHeight="1">
      <c r="A777" s="14" t="s">
        <v>140</v>
      </c>
      <c r="B777" s="56"/>
      <c r="C777" s="57"/>
      <c r="D777" s="57"/>
      <c r="E777" s="57"/>
      <c r="F777" s="57"/>
      <c r="G777" s="57"/>
      <c r="H777" s="58"/>
      <c r="I777" s="54"/>
      <c r="J777" s="59"/>
      <c r="K777" s="38"/>
      <c r="L777" s="38"/>
      <c r="M777" s="38"/>
      <c r="N777" s="38"/>
      <c r="O777" s="38"/>
      <c r="P777" s="38"/>
      <c r="Q777" s="38"/>
      <c r="R777" s="38"/>
      <c r="S777" s="38"/>
      <c r="T777" s="38"/>
      <c r="U777" s="38"/>
      <c r="V777" s="38"/>
      <c r="W777" s="38"/>
      <c r="X777" s="53"/>
      <c r="Y777" s="42"/>
      <c r="Z777" s="42"/>
      <c r="AA777" s="42"/>
    </row>
    <row r="778" ht="13.75" customHeight="1">
      <c r="A778" s="14" t="s">
        <v>140</v>
      </c>
      <c r="B778" s="56"/>
      <c r="C778" s="57"/>
      <c r="D778" s="57"/>
      <c r="E778" s="57"/>
      <c r="F778" s="57"/>
      <c r="G778" s="57"/>
      <c r="H778" s="58"/>
      <c r="I778" s="54"/>
      <c r="J778" s="59"/>
      <c r="K778" s="38"/>
      <c r="L778" s="38"/>
      <c r="M778" s="38"/>
      <c r="N778" s="38"/>
      <c r="O778" s="38"/>
      <c r="P778" s="38"/>
      <c r="Q778" s="38"/>
      <c r="R778" s="38"/>
      <c r="S778" s="38"/>
      <c r="T778" s="38"/>
      <c r="U778" s="38"/>
      <c r="V778" s="38"/>
      <c r="W778" s="38"/>
      <c r="X778" s="53"/>
      <c r="Y778" s="42"/>
      <c r="Z778" s="42"/>
      <c r="AA778" s="42"/>
    </row>
    <row r="779" ht="13.75" customHeight="1">
      <c r="A779" s="14" t="s">
        <v>140</v>
      </c>
      <c r="B779" s="56"/>
      <c r="C779" s="57"/>
      <c r="D779" s="57"/>
      <c r="E779" s="57"/>
      <c r="F779" s="57"/>
      <c r="G779" s="57"/>
      <c r="H779" s="58"/>
      <c r="I779" s="54"/>
      <c r="J779" s="59"/>
      <c r="K779" s="38"/>
      <c r="L779" s="38"/>
      <c r="M779" s="38"/>
      <c r="N779" s="38"/>
      <c r="O779" s="38"/>
      <c r="P779" s="38"/>
      <c r="Q779" s="38"/>
      <c r="R779" s="38"/>
      <c r="S779" s="38"/>
      <c r="T779" s="38"/>
      <c r="U779" s="38"/>
      <c r="V779" s="38"/>
      <c r="W779" s="38"/>
      <c r="X779" s="53"/>
      <c r="Y779" s="42"/>
      <c r="Z779" s="42"/>
      <c r="AA779" s="42"/>
    </row>
    <row r="780" ht="13.75" customHeight="1">
      <c r="A780" s="14" t="s">
        <v>140</v>
      </c>
      <c r="B780" s="56"/>
      <c r="C780" s="57"/>
      <c r="D780" s="57"/>
      <c r="E780" s="57"/>
      <c r="F780" s="57"/>
      <c r="G780" s="57"/>
      <c r="H780" s="58"/>
      <c r="I780" s="54"/>
      <c r="J780" s="59"/>
      <c r="K780" s="38"/>
      <c r="L780" s="38"/>
      <c r="M780" s="38"/>
      <c r="N780" s="38"/>
      <c r="O780" s="38"/>
      <c r="P780" s="38"/>
      <c r="Q780" s="38"/>
      <c r="R780" s="38"/>
      <c r="S780" s="38"/>
      <c r="T780" s="38"/>
      <c r="U780" s="38"/>
      <c r="V780" s="38"/>
      <c r="W780" s="38"/>
      <c r="X780" s="53"/>
      <c r="Y780" s="42"/>
      <c r="Z780" s="42"/>
      <c r="AA780" s="42"/>
    </row>
    <row r="781" ht="13.75" customHeight="1">
      <c r="A781" s="14" t="s">
        <v>140</v>
      </c>
      <c r="B781" s="56"/>
      <c r="C781" s="57"/>
      <c r="D781" s="57"/>
      <c r="E781" s="57"/>
      <c r="F781" s="57"/>
      <c r="G781" s="57"/>
      <c r="H781" s="58"/>
      <c r="I781" s="54"/>
      <c r="J781" s="59"/>
      <c r="K781" s="38"/>
      <c r="L781" s="38"/>
      <c r="M781" s="38"/>
      <c r="N781" s="38"/>
      <c r="O781" s="38"/>
      <c r="P781" s="38"/>
      <c r="Q781" s="38"/>
      <c r="R781" s="38"/>
      <c r="S781" s="38"/>
      <c r="T781" s="38"/>
      <c r="U781" s="38"/>
      <c r="V781" s="38"/>
      <c r="W781" s="38"/>
      <c r="X781" s="53"/>
      <c r="Y781" s="42"/>
      <c r="Z781" s="42"/>
      <c r="AA781" s="42"/>
    </row>
    <row r="782" ht="13.75" customHeight="1">
      <c r="A782" s="14" t="s">
        <v>140</v>
      </c>
      <c r="B782" s="56"/>
      <c r="C782" s="57"/>
      <c r="D782" s="57"/>
      <c r="E782" s="57"/>
      <c r="F782" s="57"/>
      <c r="G782" s="57"/>
      <c r="H782" s="58"/>
      <c r="I782" s="54"/>
      <c r="J782" s="59"/>
      <c r="K782" s="38"/>
      <c r="L782" s="38"/>
      <c r="M782" s="38"/>
      <c r="N782" s="38"/>
      <c r="O782" s="38"/>
      <c r="P782" s="38"/>
      <c r="Q782" s="38"/>
      <c r="R782" s="38"/>
      <c r="S782" s="38"/>
      <c r="T782" s="38"/>
      <c r="U782" s="38"/>
      <c r="V782" s="38"/>
      <c r="W782" s="38"/>
      <c r="X782" s="53"/>
      <c r="Y782" s="42"/>
      <c r="Z782" s="42"/>
      <c r="AA782" s="42"/>
    </row>
    <row r="783" ht="13.75" customHeight="1">
      <c r="A783" s="14" t="s">
        <v>140</v>
      </c>
      <c r="B783" s="56"/>
      <c r="C783" s="57"/>
      <c r="D783" s="57"/>
      <c r="E783" s="57"/>
      <c r="F783" s="57"/>
      <c r="G783" s="57"/>
      <c r="H783" s="58"/>
      <c r="I783" s="54"/>
      <c r="J783" s="59"/>
      <c r="K783" s="38"/>
      <c r="L783" s="38"/>
      <c r="M783" s="38"/>
      <c r="N783" s="38"/>
      <c r="O783" s="38"/>
      <c r="P783" s="38"/>
      <c r="Q783" s="38"/>
      <c r="R783" s="38"/>
      <c r="S783" s="38"/>
      <c r="T783" s="38"/>
      <c r="U783" s="38"/>
      <c r="V783" s="38"/>
      <c r="W783" s="38"/>
      <c r="X783" s="53"/>
      <c r="Y783" s="42"/>
      <c r="Z783" s="42"/>
      <c r="AA783" s="42"/>
    </row>
    <row r="784" ht="13.75" customHeight="1">
      <c r="A784" s="14" t="s">
        <v>140</v>
      </c>
      <c r="B784" s="56"/>
      <c r="C784" s="57"/>
      <c r="D784" s="57"/>
      <c r="E784" s="57"/>
      <c r="F784" s="57"/>
      <c r="G784" s="57"/>
      <c r="H784" s="58"/>
      <c r="I784" s="54"/>
      <c r="J784" s="59"/>
      <c r="K784" s="38"/>
      <c r="L784" s="38"/>
      <c r="M784" s="38"/>
      <c r="N784" s="38"/>
      <c r="O784" s="38"/>
      <c r="P784" s="38"/>
      <c r="Q784" s="38"/>
      <c r="R784" s="38"/>
      <c r="S784" s="38"/>
      <c r="T784" s="38"/>
      <c r="U784" s="38"/>
      <c r="V784" s="38"/>
      <c r="W784" s="38"/>
      <c r="X784" s="53"/>
      <c r="Y784" s="42"/>
      <c r="Z784" s="42"/>
      <c r="AA784" s="42"/>
    </row>
    <row r="785" ht="13.75" customHeight="1">
      <c r="A785" s="14" t="s">
        <v>140</v>
      </c>
      <c r="B785" s="56"/>
      <c r="C785" s="57"/>
      <c r="D785" s="57"/>
      <c r="E785" s="57"/>
      <c r="F785" s="57"/>
      <c r="G785" s="57"/>
      <c r="H785" s="58"/>
      <c r="I785" s="54"/>
      <c r="J785" s="59"/>
      <c r="K785" s="38"/>
      <c r="L785" s="38"/>
      <c r="M785" s="38"/>
      <c r="N785" s="38"/>
      <c r="O785" s="38"/>
      <c r="P785" s="38"/>
      <c r="Q785" s="38"/>
      <c r="R785" s="38"/>
      <c r="S785" s="38"/>
      <c r="T785" s="38"/>
      <c r="U785" s="38"/>
      <c r="V785" s="38"/>
      <c r="W785" s="38"/>
      <c r="X785" s="53"/>
      <c r="Y785" s="42"/>
      <c r="Z785" s="42"/>
      <c r="AA785" s="42"/>
    </row>
    <row r="786" ht="13.75" customHeight="1">
      <c r="A786" s="14" t="s">
        <v>140</v>
      </c>
      <c r="B786" s="56"/>
      <c r="C786" s="57"/>
      <c r="D786" s="57"/>
      <c r="E786" s="57"/>
      <c r="F786" s="57"/>
      <c r="G786" s="57"/>
      <c r="H786" s="58"/>
      <c r="I786" s="54"/>
      <c r="J786" s="59"/>
      <c r="K786" s="38"/>
      <c r="L786" s="38"/>
      <c r="M786" s="38"/>
      <c r="N786" s="38"/>
      <c r="O786" s="38"/>
      <c r="P786" s="38"/>
      <c r="Q786" s="38"/>
      <c r="R786" s="38"/>
      <c r="S786" s="38"/>
      <c r="T786" s="38"/>
      <c r="U786" s="38"/>
      <c r="V786" s="38"/>
      <c r="W786" s="38"/>
      <c r="X786" s="53"/>
      <c r="Y786" s="42"/>
      <c r="Z786" s="42"/>
      <c r="AA786" s="42"/>
    </row>
    <row r="787" ht="13.75" customHeight="1">
      <c r="A787" s="14" t="s">
        <v>140</v>
      </c>
      <c r="B787" s="56"/>
      <c r="C787" s="57"/>
      <c r="D787" s="57"/>
      <c r="E787" s="57"/>
      <c r="F787" s="57"/>
      <c r="G787" s="57"/>
      <c r="H787" s="58"/>
      <c r="I787" s="54"/>
      <c r="J787" s="59"/>
      <c r="K787" s="38"/>
      <c r="L787" s="38"/>
      <c r="M787" s="38"/>
      <c r="N787" s="38"/>
      <c r="O787" s="38"/>
      <c r="P787" s="38"/>
      <c r="Q787" s="38"/>
      <c r="R787" s="38"/>
      <c r="S787" s="38"/>
      <c r="T787" s="38"/>
      <c r="U787" s="38"/>
      <c r="V787" s="38"/>
      <c r="W787" s="38"/>
      <c r="X787" s="53"/>
      <c r="Y787" s="42"/>
      <c r="Z787" s="42"/>
      <c r="AA787" s="42"/>
    </row>
    <row r="788" ht="13.75" customHeight="1">
      <c r="A788" s="14" t="s">
        <v>140</v>
      </c>
      <c r="B788" s="56"/>
      <c r="C788" s="57"/>
      <c r="D788" s="57"/>
      <c r="E788" s="57"/>
      <c r="F788" s="57"/>
      <c r="G788" s="57"/>
      <c r="H788" s="58"/>
      <c r="I788" s="54"/>
      <c r="J788" s="59"/>
      <c r="K788" s="38"/>
      <c r="L788" s="38"/>
      <c r="M788" s="38"/>
      <c r="N788" s="38"/>
      <c r="O788" s="38"/>
      <c r="P788" s="38"/>
      <c r="Q788" s="38"/>
      <c r="R788" s="38"/>
      <c r="S788" s="38"/>
      <c r="T788" s="38"/>
      <c r="U788" s="38"/>
      <c r="V788" s="38"/>
      <c r="W788" s="38"/>
      <c r="X788" s="53"/>
      <c r="Y788" s="42"/>
      <c r="Z788" s="42"/>
      <c r="AA788" s="42"/>
    </row>
    <row r="789" ht="13.75" customHeight="1">
      <c r="A789" s="14" t="s">
        <v>140</v>
      </c>
      <c r="B789" s="56"/>
      <c r="C789" s="57"/>
      <c r="D789" s="57"/>
      <c r="E789" s="57"/>
      <c r="F789" s="57"/>
      <c r="G789" s="57"/>
      <c r="H789" s="58"/>
      <c r="I789" s="54"/>
      <c r="J789" s="59"/>
      <c r="K789" s="38"/>
      <c r="L789" s="38"/>
      <c r="M789" s="38"/>
      <c r="N789" s="38"/>
      <c r="O789" s="38"/>
      <c r="P789" s="38"/>
      <c r="Q789" s="38"/>
      <c r="R789" s="38"/>
      <c r="S789" s="38"/>
      <c r="T789" s="38"/>
      <c r="U789" s="38"/>
      <c r="V789" s="38"/>
      <c r="W789" s="38"/>
      <c r="X789" s="53"/>
      <c r="Y789" s="42"/>
      <c r="Z789" s="42"/>
      <c r="AA789" s="42"/>
    </row>
    <row r="790" ht="13.75" customHeight="1">
      <c r="A790" s="14" t="s">
        <v>140</v>
      </c>
      <c r="B790" s="56"/>
      <c r="C790" s="57"/>
      <c r="D790" s="57"/>
      <c r="E790" s="57"/>
      <c r="F790" s="57"/>
      <c r="G790" s="57"/>
      <c r="H790" s="58"/>
      <c r="I790" s="54"/>
      <c r="J790" s="59"/>
      <c r="K790" s="38"/>
      <c r="L790" s="38"/>
      <c r="M790" s="38"/>
      <c r="N790" s="38"/>
      <c r="O790" s="38"/>
      <c r="P790" s="38"/>
      <c r="Q790" s="38"/>
      <c r="R790" s="38"/>
      <c r="S790" s="38"/>
      <c r="T790" s="38"/>
      <c r="U790" s="38"/>
      <c r="V790" s="38"/>
      <c r="W790" s="38"/>
      <c r="X790" s="53"/>
      <c r="Y790" s="42"/>
      <c r="Z790" s="42"/>
      <c r="AA790" s="42"/>
    </row>
    <row r="791" ht="13.75" customHeight="1">
      <c r="A791" s="14" t="s">
        <v>140</v>
      </c>
      <c r="B791" s="56"/>
      <c r="C791" s="57"/>
      <c r="D791" s="57"/>
      <c r="E791" s="57"/>
      <c r="F791" s="57"/>
      <c r="G791" s="57"/>
      <c r="H791" s="58"/>
      <c r="I791" s="54"/>
      <c r="J791" s="59"/>
      <c r="K791" s="38"/>
      <c r="L791" s="38"/>
      <c r="M791" s="38"/>
      <c r="N791" s="38"/>
      <c r="O791" s="38"/>
      <c r="P791" s="38"/>
      <c r="Q791" s="38"/>
      <c r="R791" s="38"/>
      <c r="S791" s="38"/>
      <c r="T791" s="38"/>
      <c r="U791" s="38"/>
      <c r="V791" s="38"/>
      <c r="W791" s="38"/>
      <c r="X791" s="53"/>
      <c r="Y791" s="42"/>
      <c r="Z791" s="42"/>
      <c r="AA791" s="42"/>
    </row>
    <row r="792" ht="13.75" customHeight="1">
      <c r="A792" s="14" t="s">
        <v>140</v>
      </c>
      <c r="B792" s="56"/>
      <c r="C792" s="57"/>
      <c r="D792" s="57"/>
      <c r="E792" s="57"/>
      <c r="F792" s="57"/>
      <c r="G792" s="57"/>
      <c r="H792" s="58"/>
      <c r="I792" s="54"/>
      <c r="J792" s="59"/>
      <c r="K792" s="38"/>
      <c r="L792" s="38"/>
      <c r="M792" s="38"/>
      <c r="N792" s="38"/>
      <c r="O792" s="38"/>
      <c r="P792" s="38"/>
      <c r="Q792" s="38"/>
      <c r="R792" s="38"/>
      <c r="S792" s="38"/>
      <c r="T792" s="38"/>
      <c r="U792" s="38"/>
      <c r="V792" s="38"/>
      <c r="W792" s="38"/>
      <c r="X792" s="53"/>
      <c r="Y792" s="42"/>
      <c r="Z792" s="42"/>
      <c r="AA792" s="42"/>
    </row>
    <row r="793" ht="13.75" customHeight="1">
      <c r="A793" s="14" t="s">
        <v>140</v>
      </c>
      <c r="B793" s="56"/>
      <c r="C793" s="57"/>
      <c r="D793" s="57"/>
      <c r="E793" s="57"/>
      <c r="F793" s="57"/>
      <c r="G793" s="57"/>
      <c r="H793" s="58"/>
      <c r="I793" s="54"/>
      <c r="J793" s="59"/>
      <c r="K793" s="38"/>
      <c r="L793" s="38"/>
      <c r="M793" s="38"/>
      <c r="N793" s="38"/>
      <c r="O793" s="38"/>
      <c r="P793" s="38"/>
      <c r="Q793" s="38"/>
      <c r="R793" s="38"/>
      <c r="S793" s="38"/>
      <c r="T793" s="38"/>
      <c r="U793" s="38"/>
      <c r="V793" s="38"/>
      <c r="W793" s="38"/>
      <c r="X793" s="53"/>
      <c r="Y793" s="42"/>
      <c r="Z793" s="42"/>
      <c r="AA793" s="42"/>
    </row>
    <row r="794" ht="13.75" customHeight="1">
      <c r="A794" s="14" t="s">
        <v>140</v>
      </c>
      <c r="B794" s="56"/>
      <c r="C794" s="57"/>
      <c r="D794" s="57"/>
      <c r="E794" s="57"/>
      <c r="F794" s="57"/>
      <c r="G794" s="57"/>
      <c r="H794" s="58"/>
      <c r="I794" s="54"/>
      <c r="J794" s="59"/>
      <c r="K794" s="38"/>
      <c r="L794" s="38"/>
      <c r="M794" s="38"/>
      <c r="N794" s="38"/>
      <c r="O794" s="38"/>
      <c r="P794" s="38"/>
      <c r="Q794" s="38"/>
      <c r="R794" s="38"/>
      <c r="S794" s="38"/>
      <c r="T794" s="38"/>
      <c r="U794" s="38"/>
      <c r="V794" s="38"/>
      <c r="W794" s="38"/>
      <c r="X794" s="53"/>
      <c r="Y794" s="42"/>
      <c r="Z794" s="42"/>
      <c r="AA794" s="42"/>
    </row>
    <row r="795" ht="13.75" customHeight="1">
      <c r="A795" s="14" t="s">
        <v>140</v>
      </c>
      <c r="B795" s="56"/>
      <c r="C795" s="57"/>
      <c r="D795" s="57"/>
      <c r="E795" s="57"/>
      <c r="F795" s="57"/>
      <c r="G795" s="57"/>
      <c r="H795" s="58"/>
      <c r="I795" s="54"/>
      <c r="J795" s="59"/>
      <c r="K795" s="38"/>
      <c r="L795" s="38"/>
      <c r="M795" s="38"/>
      <c r="N795" s="38"/>
      <c r="O795" s="38"/>
      <c r="P795" s="38"/>
      <c r="Q795" s="38"/>
      <c r="R795" s="38"/>
      <c r="S795" s="38"/>
      <c r="T795" s="38"/>
      <c r="U795" s="38"/>
      <c r="V795" s="38"/>
      <c r="W795" s="38"/>
      <c r="X795" s="53"/>
      <c r="Y795" s="42"/>
      <c r="Z795" s="42"/>
      <c r="AA795" s="42"/>
    </row>
    <row r="796" ht="13.75" customHeight="1">
      <c r="A796" s="14" t="s">
        <v>140</v>
      </c>
      <c r="B796" s="56"/>
      <c r="C796" s="57"/>
      <c r="D796" s="57"/>
      <c r="E796" s="57"/>
      <c r="F796" s="57"/>
      <c r="G796" s="57"/>
      <c r="H796" s="58"/>
      <c r="I796" s="54"/>
      <c r="J796" s="59"/>
      <c r="K796" s="38"/>
      <c r="L796" s="38"/>
      <c r="M796" s="38"/>
      <c r="N796" s="38"/>
      <c r="O796" s="38"/>
      <c r="P796" s="38"/>
      <c r="Q796" s="38"/>
      <c r="R796" s="38"/>
      <c r="S796" s="38"/>
      <c r="T796" s="38"/>
      <c r="U796" s="38"/>
      <c r="V796" s="38"/>
      <c r="W796" s="38"/>
      <c r="X796" s="53"/>
      <c r="Y796" s="42"/>
      <c r="Z796" s="42"/>
      <c r="AA796" s="42"/>
    </row>
    <row r="797" ht="13.75" customHeight="1">
      <c r="A797" s="14" t="s">
        <v>140</v>
      </c>
      <c r="B797" s="56"/>
      <c r="C797" s="57"/>
      <c r="D797" s="57"/>
      <c r="E797" s="57"/>
      <c r="F797" s="57"/>
      <c r="G797" s="57"/>
      <c r="H797" s="58"/>
      <c r="I797" s="54"/>
      <c r="J797" s="59"/>
      <c r="K797" s="38"/>
      <c r="L797" s="38"/>
      <c r="M797" s="38"/>
      <c r="N797" s="38"/>
      <c r="O797" s="38"/>
      <c r="P797" s="38"/>
      <c r="Q797" s="38"/>
      <c r="R797" s="38"/>
      <c r="S797" s="38"/>
      <c r="T797" s="38"/>
      <c r="U797" s="38"/>
      <c r="V797" s="38"/>
      <c r="W797" s="38"/>
      <c r="X797" s="53"/>
      <c r="Y797" s="42"/>
      <c r="Z797" s="42"/>
      <c r="AA797" s="42"/>
    </row>
    <row r="798" ht="13.75" customHeight="1">
      <c r="A798" s="14" t="s">
        <v>140</v>
      </c>
      <c r="B798" s="56"/>
      <c r="C798" s="57"/>
      <c r="D798" s="57"/>
      <c r="E798" s="57"/>
      <c r="F798" s="57"/>
      <c r="G798" s="57"/>
      <c r="H798" s="58"/>
      <c r="I798" s="54"/>
      <c r="J798" s="59"/>
      <c r="K798" s="38"/>
      <c r="L798" s="38"/>
      <c r="M798" s="38"/>
      <c r="N798" s="38"/>
      <c r="O798" s="38"/>
      <c r="P798" s="38"/>
      <c r="Q798" s="38"/>
      <c r="R798" s="38"/>
      <c r="S798" s="38"/>
      <c r="T798" s="38"/>
      <c r="U798" s="38"/>
      <c r="V798" s="38"/>
      <c r="W798" s="38"/>
      <c r="X798" s="53"/>
      <c r="Y798" s="42"/>
      <c r="Z798" s="42"/>
      <c r="AA798" s="42"/>
    </row>
    <row r="799" ht="13.75" customHeight="1">
      <c r="A799" s="14" t="s">
        <v>140</v>
      </c>
      <c r="B799" s="56"/>
      <c r="C799" s="57"/>
      <c r="D799" s="57"/>
      <c r="E799" s="57"/>
      <c r="F799" s="57"/>
      <c r="G799" s="57"/>
      <c r="H799" s="58"/>
      <c r="I799" s="54"/>
      <c r="J799" s="59"/>
      <c r="K799" s="38"/>
      <c r="L799" s="38"/>
      <c r="M799" s="38"/>
      <c r="N799" s="38"/>
      <c r="O799" s="38"/>
      <c r="P799" s="38"/>
      <c r="Q799" s="38"/>
      <c r="R799" s="38"/>
      <c r="S799" s="38"/>
      <c r="T799" s="38"/>
      <c r="U799" s="38"/>
      <c r="V799" s="38"/>
      <c r="W799" s="38"/>
      <c r="X799" s="53"/>
      <c r="Y799" s="42"/>
      <c r="Z799" s="42"/>
      <c r="AA799" s="42"/>
    </row>
    <row r="800" ht="13.75" customHeight="1">
      <c r="A800" s="14" t="s">
        <v>140</v>
      </c>
      <c r="B800" s="56"/>
      <c r="C800" s="57"/>
      <c r="D800" s="57"/>
      <c r="E800" s="57"/>
      <c r="F800" s="57"/>
      <c r="G800" s="57"/>
      <c r="H800" s="58"/>
      <c r="I800" s="54"/>
      <c r="J800" s="59"/>
      <c r="K800" s="38"/>
      <c r="L800" s="38"/>
      <c r="M800" s="38"/>
      <c r="N800" s="38"/>
      <c r="O800" s="38"/>
      <c r="P800" s="38"/>
      <c r="Q800" s="38"/>
      <c r="R800" s="38"/>
      <c r="S800" s="38"/>
      <c r="T800" s="38"/>
      <c r="U800" s="38"/>
      <c r="V800" s="38"/>
      <c r="W800" s="38"/>
      <c r="X800" s="53"/>
      <c r="Y800" s="42"/>
      <c r="Z800" s="42"/>
      <c r="AA800" s="42"/>
    </row>
    <row r="801" ht="13.75" customHeight="1">
      <c r="A801" s="14" t="s">
        <v>140</v>
      </c>
      <c r="B801" s="56"/>
      <c r="C801" s="57"/>
      <c r="D801" s="57"/>
      <c r="E801" s="57"/>
      <c r="F801" s="57"/>
      <c r="G801" s="57"/>
      <c r="H801" s="58"/>
      <c r="I801" s="54"/>
      <c r="J801" s="59"/>
      <c r="K801" s="38"/>
      <c r="L801" s="38"/>
      <c r="M801" s="38"/>
      <c r="N801" s="38"/>
      <c r="O801" s="38"/>
      <c r="P801" s="38"/>
      <c r="Q801" s="38"/>
      <c r="R801" s="38"/>
      <c r="S801" s="38"/>
      <c r="T801" s="38"/>
      <c r="U801" s="38"/>
      <c r="V801" s="38"/>
      <c r="W801" s="38"/>
      <c r="X801" s="53"/>
      <c r="Y801" s="42"/>
      <c r="Z801" s="42"/>
      <c r="AA801" s="42"/>
    </row>
    <row r="802" ht="13.75" customHeight="1">
      <c r="A802" s="14" t="s">
        <v>140</v>
      </c>
      <c r="B802" s="56"/>
      <c r="C802" s="57"/>
      <c r="D802" s="57"/>
      <c r="E802" s="57"/>
      <c r="F802" s="57"/>
      <c r="G802" s="57"/>
      <c r="H802" s="58"/>
      <c r="I802" s="54"/>
      <c r="J802" s="59"/>
      <c r="K802" s="38"/>
      <c r="L802" s="38"/>
      <c r="M802" s="38"/>
      <c r="N802" s="38"/>
      <c r="O802" s="38"/>
      <c r="P802" s="38"/>
      <c r="Q802" s="38"/>
      <c r="R802" s="38"/>
      <c r="S802" s="38"/>
      <c r="T802" s="38"/>
      <c r="U802" s="38"/>
      <c r="V802" s="38"/>
      <c r="W802" s="38"/>
      <c r="X802" s="53"/>
      <c r="Y802" s="42"/>
      <c r="Z802" s="42"/>
      <c r="AA802" s="42"/>
    </row>
    <row r="803" ht="13.75" customHeight="1">
      <c r="A803" s="14" t="s">
        <v>140</v>
      </c>
      <c r="B803" s="56"/>
      <c r="C803" s="57"/>
      <c r="D803" s="57"/>
      <c r="E803" s="57"/>
      <c r="F803" s="57"/>
      <c r="G803" s="57"/>
      <c r="H803" s="58"/>
      <c r="I803" s="54"/>
      <c r="J803" s="59"/>
      <c r="K803" s="38"/>
      <c r="L803" s="38"/>
      <c r="M803" s="38"/>
      <c r="N803" s="38"/>
      <c r="O803" s="38"/>
      <c r="P803" s="38"/>
      <c r="Q803" s="38"/>
      <c r="R803" s="38"/>
      <c r="S803" s="38"/>
      <c r="T803" s="38"/>
      <c r="U803" s="38"/>
      <c r="V803" s="38"/>
      <c r="W803" s="38"/>
      <c r="X803" s="53"/>
      <c r="Y803" s="42"/>
      <c r="Z803" s="42"/>
      <c r="AA803" s="42"/>
    </row>
    <row r="804" ht="13.75" customHeight="1">
      <c r="A804" s="14" t="s">
        <v>140</v>
      </c>
      <c r="B804" s="56"/>
      <c r="C804" s="57"/>
      <c r="D804" s="57"/>
      <c r="E804" s="57"/>
      <c r="F804" s="57"/>
      <c r="G804" s="57"/>
      <c r="H804" s="58"/>
      <c r="I804" s="54"/>
      <c r="J804" s="59"/>
      <c r="K804" s="38"/>
      <c r="L804" s="38"/>
      <c r="M804" s="38"/>
      <c r="N804" s="38"/>
      <c r="O804" s="38"/>
      <c r="P804" s="38"/>
      <c r="Q804" s="38"/>
      <c r="R804" s="38"/>
      <c r="S804" s="38"/>
      <c r="T804" s="38"/>
      <c r="U804" s="38"/>
      <c r="V804" s="38"/>
      <c r="W804" s="38"/>
      <c r="X804" s="53"/>
      <c r="Y804" s="42"/>
      <c r="Z804" s="42"/>
      <c r="AA804" s="42"/>
    </row>
    <row r="805" ht="13.75" customHeight="1">
      <c r="A805" s="14" t="s">
        <v>140</v>
      </c>
      <c r="B805" s="56"/>
      <c r="C805" s="57"/>
      <c r="D805" s="57"/>
      <c r="E805" s="57"/>
      <c r="F805" s="57"/>
      <c r="G805" s="57"/>
      <c r="H805" s="58"/>
      <c r="I805" s="54"/>
      <c r="J805" s="59"/>
      <c r="K805" s="38"/>
      <c r="L805" s="38"/>
      <c r="M805" s="38"/>
      <c r="N805" s="38"/>
      <c r="O805" s="38"/>
      <c r="P805" s="38"/>
      <c r="Q805" s="38"/>
      <c r="R805" s="38"/>
      <c r="S805" s="38"/>
      <c r="T805" s="38"/>
      <c r="U805" s="38"/>
      <c r="V805" s="38"/>
      <c r="W805" s="38"/>
      <c r="X805" s="53"/>
      <c r="Y805" s="42"/>
      <c r="Z805" s="42"/>
      <c r="AA805" s="42"/>
    </row>
    <row r="806" ht="13.75" customHeight="1">
      <c r="A806" s="14" t="s">
        <v>140</v>
      </c>
      <c r="B806" s="56"/>
      <c r="C806" s="57"/>
      <c r="D806" s="57"/>
      <c r="E806" s="57"/>
      <c r="F806" s="57"/>
      <c r="G806" s="57"/>
      <c r="H806" s="58"/>
      <c r="I806" s="54"/>
      <c r="J806" s="59"/>
      <c r="K806" s="38"/>
      <c r="L806" s="38"/>
      <c r="M806" s="38"/>
      <c r="N806" s="38"/>
      <c r="O806" s="38"/>
      <c r="P806" s="38"/>
      <c r="Q806" s="38"/>
      <c r="R806" s="38"/>
      <c r="S806" s="38"/>
      <c r="T806" s="38"/>
      <c r="U806" s="38"/>
      <c r="V806" s="38"/>
      <c r="W806" s="38"/>
      <c r="X806" s="53"/>
      <c r="Y806" s="42"/>
      <c r="Z806" s="42"/>
      <c r="AA806" s="42"/>
    </row>
    <row r="807" ht="13.75" customHeight="1">
      <c r="A807" s="14" t="s">
        <v>140</v>
      </c>
      <c r="B807" s="56"/>
      <c r="C807" s="57"/>
      <c r="D807" s="57"/>
      <c r="E807" s="57"/>
      <c r="F807" s="57"/>
      <c r="G807" s="57"/>
      <c r="H807" s="58"/>
      <c r="I807" s="54"/>
      <c r="J807" s="59"/>
      <c r="K807" s="38"/>
      <c r="L807" s="38"/>
      <c r="M807" s="38"/>
      <c r="N807" s="38"/>
      <c r="O807" s="38"/>
      <c r="P807" s="38"/>
      <c r="Q807" s="38"/>
      <c r="R807" s="38"/>
      <c r="S807" s="38"/>
      <c r="T807" s="38"/>
      <c r="U807" s="38"/>
      <c r="V807" s="38"/>
      <c r="W807" s="38"/>
      <c r="X807" s="53"/>
      <c r="Y807" s="42"/>
      <c r="Z807" s="42"/>
      <c r="AA807" s="42"/>
    </row>
    <row r="808" ht="13.75" customHeight="1">
      <c r="A808" s="14" t="s">
        <v>140</v>
      </c>
      <c r="B808" s="56"/>
      <c r="C808" s="57"/>
      <c r="D808" s="57"/>
      <c r="E808" s="57"/>
      <c r="F808" s="57"/>
      <c r="G808" s="57"/>
      <c r="H808" s="58"/>
      <c r="I808" s="54"/>
      <c r="J808" s="59"/>
      <c r="K808" s="38"/>
      <c r="L808" s="38"/>
      <c r="M808" s="38"/>
      <c r="N808" s="38"/>
      <c r="O808" s="38"/>
      <c r="P808" s="38"/>
      <c r="Q808" s="38"/>
      <c r="R808" s="38"/>
      <c r="S808" s="38"/>
      <c r="T808" s="38"/>
      <c r="U808" s="38"/>
      <c r="V808" s="38"/>
      <c r="W808" s="38"/>
      <c r="X808" s="53"/>
      <c r="Y808" s="42"/>
      <c r="Z808" s="42"/>
      <c r="AA808" s="42"/>
    </row>
    <row r="809" ht="13.75" customHeight="1">
      <c r="A809" s="14" t="s">
        <v>140</v>
      </c>
      <c r="B809" s="56"/>
      <c r="C809" s="57"/>
      <c r="D809" s="57"/>
      <c r="E809" s="57"/>
      <c r="F809" s="57"/>
      <c r="G809" s="57"/>
      <c r="H809" s="58"/>
      <c r="I809" s="54"/>
      <c r="J809" s="59"/>
      <c r="K809" s="38"/>
      <c r="L809" s="38"/>
      <c r="M809" s="38"/>
      <c r="N809" s="38"/>
      <c r="O809" s="38"/>
      <c r="P809" s="38"/>
      <c r="Q809" s="38"/>
      <c r="R809" s="38"/>
      <c r="S809" s="38"/>
      <c r="T809" s="38"/>
      <c r="U809" s="38"/>
      <c r="V809" s="38"/>
      <c r="W809" s="38"/>
      <c r="X809" s="53"/>
      <c r="Y809" s="42"/>
      <c r="Z809" s="42"/>
      <c r="AA809" s="42"/>
    </row>
    <row r="810" ht="13.75" customHeight="1">
      <c r="A810" s="14" t="s">
        <v>140</v>
      </c>
      <c r="B810" s="56"/>
      <c r="C810" s="57"/>
      <c r="D810" s="57"/>
      <c r="E810" s="57"/>
      <c r="F810" s="57"/>
      <c r="G810" s="57"/>
      <c r="H810" s="58"/>
      <c r="I810" s="54"/>
      <c r="J810" s="59"/>
      <c r="K810" s="38"/>
      <c r="L810" s="38"/>
      <c r="M810" s="38"/>
      <c r="N810" s="38"/>
      <c r="O810" s="38"/>
      <c r="P810" s="38"/>
      <c r="Q810" s="38"/>
      <c r="R810" s="38"/>
      <c r="S810" s="38"/>
      <c r="T810" s="38"/>
      <c r="U810" s="38"/>
      <c r="V810" s="38"/>
      <c r="W810" s="38"/>
      <c r="X810" s="53"/>
      <c r="Y810" s="42"/>
      <c r="Z810" s="42"/>
      <c r="AA810" s="42"/>
    </row>
    <row r="811" ht="13.75" customHeight="1">
      <c r="A811" s="14" t="s">
        <v>140</v>
      </c>
      <c r="B811" s="56"/>
      <c r="C811" s="57"/>
      <c r="D811" s="57"/>
      <c r="E811" s="57"/>
      <c r="F811" s="57"/>
      <c r="G811" s="57"/>
      <c r="H811" s="58"/>
      <c r="I811" s="54"/>
      <c r="J811" s="59"/>
      <c r="K811" s="38"/>
      <c r="L811" s="38"/>
      <c r="M811" s="38"/>
      <c r="N811" s="38"/>
      <c r="O811" s="38"/>
      <c r="P811" s="38"/>
      <c r="Q811" s="38"/>
      <c r="R811" s="38"/>
      <c r="S811" s="38"/>
      <c r="T811" s="38"/>
      <c r="U811" s="38"/>
      <c r="V811" s="38"/>
      <c r="W811" s="38"/>
      <c r="X811" s="53"/>
      <c r="Y811" s="42"/>
      <c r="Z811" s="42"/>
      <c r="AA811" s="42"/>
    </row>
    <row r="812" ht="13.75" customHeight="1">
      <c r="A812" s="14" t="s">
        <v>140</v>
      </c>
      <c r="B812" s="56"/>
      <c r="C812" s="57"/>
      <c r="D812" s="57"/>
      <c r="E812" s="57"/>
      <c r="F812" s="57"/>
      <c r="G812" s="57"/>
      <c r="H812" s="58"/>
      <c r="I812" s="54"/>
      <c r="J812" s="59"/>
      <c r="K812" s="38"/>
      <c r="L812" s="38"/>
      <c r="M812" s="38"/>
      <c r="N812" s="38"/>
      <c r="O812" s="38"/>
      <c r="P812" s="38"/>
      <c r="Q812" s="38"/>
      <c r="R812" s="38"/>
      <c r="S812" s="38"/>
      <c r="T812" s="38"/>
      <c r="U812" s="38"/>
      <c r="V812" s="38"/>
      <c r="W812" s="38"/>
      <c r="X812" s="53"/>
      <c r="Y812" s="42"/>
      <c r="Z812" s="42"/>
      <c r="AA812" s="42"/>
    </row>
    <row r="813" ht="13.75" customHeight="1">
      <c r="A813" s="14" t="s">
        <v>140</v>
      </c>
      <c r="B813" s="56"/>
      <c r="C813" s="57"/>
      <c r="D813" s="57"/>
      <c r="E813" s="57"/>
      <c r="F813" s="57"/>
      <c r="G813" s="57"/>
      <c r="H813" s="58"/>
      <c r="I813" s="54"/>
      <c r="J813" s="59"/>
      <c r="K813" s="38"/>
      <c r="L813" s="38"/>
      <c r="M813" s="38"/>
      <c r="N813" s="38"/>
      <c r="O813" s="38"/>
      <c r="P813" s="38"/>
      <c r="Q813" s="38"/>
      <c r="R813" s="38"/>
      <c r="S813" s="38"/>
      <c r="T813" s="38"/>
      <c r="U813" s="38"/>
      <c r="V813" s="38"/>
      <c r="W813" s="38"/>
      <c r="X813" s="53"/>
      <c r="Y813" s="42"/>
      <c r="Z813" s="42"/>
      <c r="AA813" s="42"/>
    </row>
    <row r="814" ht="13.75" customHeight="1">
      <c r="A814" s="14" t="s">
        <v>140</v>
      </c>
      <c r="B814" s="56"/>
      <c r="C814" s="57"/>
      <c r="D814" s="57"/>
      <c r="E814" s="57"/>
      <c r="F814" s="57"/>
      <c r="G814" s="57"/>
      <c r="H814" s="58"/>
      <c r="I814" s="54"/>
      <c r="J814" s="59"/>
      <c r="K814" s="38"/>
      <c r="L814" s="38"/>
      <c r="M814" s="38"/>
      <c r="N814" s="38"/>
      <c r="O814" s="38"/>
      <c r="P814" s="38"/>
      <c r="Q814" s="38"/>
      <c r="R814" s="38"/>
      <c r="S814" s="38"/>
      <c r="T814" s="38"/>
      <c r="U814" s="38"/>
      <c r="V814" s="38"/>
      <c r="W814" s="38"/>
      <c r="X814" s="53"/>
      <c r="Y814" s="42"/>
      <c r="Z814" s="42"/>
      <c r="AA814" s="42"/>
    </row>
    <row r="815" ht="13.75" customHeight="1">
      <c r="A815" s="14" t="s">
        <v>140</v>
      </c>
      <c r="B815" s="56"/>
      <c r="C815" s="57"/>
      <c r="D815" s="57"/>
      <c r="E815" s="57"/>
      <c r="F815" s="57"/>
      <c r="G815" s="57"/>
      <c r="H815" s="58"/>
      <c r="I815" s="54"/>
      <c r="J815" s="59"/>
      <c r="K815" s="38"/>
      <c r="L815" s="38"/>
      <c r="M815" s="38"/>
      <c r="N815" s="38"/>
      <c r="O815" s="38"/>
      <c r="P815" s="38"/>
      <c r="Q815" s="38"/>
      <c r="R815" s="38"/>
      <c r="S815" s="38"/>
      <c r="T815" s="38"/>
      <c r="U815" s="38"/>
      <c r="V815" s="38"/>
      <c r="W815" s="38"/>
      <c r="X815" s="53"/>
      <c r="Y815" s="42"/>
      <c r="Z815" s="42"/>
      <c r="AA815" s="42"/>
    </row>
    <row r="816" ht="13.75" customHeight="1">
      <c r="A816" s="14" t="s">
        <v>140</v>
      </c>
      <c r="B816" s="56"/>
      <c r="C816" s="57"/>
      <c r="D816" s="57"/>
      <c r="E816" s="57"/>
      <c r="F816" s="57"/>
      <c r="G816" s="57"/>
      <c r="H816" s="58"/>
      <c r="I816" s="54"/>
      <c r="J816" s="59"/>
      <c r="K816" s="38"/>
      <c r="L816" s="38"/>
      <c r="M816" s="38"/>
      <c r="N816" s="38"/>
      <c r="O816" s="38"/>
      <c r="P816" s="38"/>
      <c r="Q816" s="38"/>
      <c r="R816" s="38"/>
      <c r="S816" s="38"/>
      <c r="T816" s="38"/>
      <c r="U816" s="38"/>
      <c r="V816" s="38"/>
      <c r="W816" s="38"/>
      <c r="X816" s="53"/>
      <c r="Y816" s="42"/>
      <c r="Z816" s="42"/>
      <c r="AA816" s="42"/>
    </row>
    <row r="817" ht="13.75" customHeight="1">
      <c r="A817" s="14" t="s">
        <v>140</v>
      </c>
      <c r="B817" s="56"/>
      <c r="C817" s="57"/>
      <c r="D817" s="57"/>
      <c r="E817" s="57"/>
      <c r="F817" s="57"/>
      <c r="G817" s="57"/>
      <c r="H817" s="58"/>
      <c r="I817" s="54"/>
      <c r="J817" s="59"/>
      <c r="K817" s="38"/>
      <c r="L817" s="38"/>
      <c r="M817" s="38"/>
      <c r="N817" s="38"/>
      <c r="O817" s="38"/>
      <c r="P817" s="38"/>
      <c r="Q817" s="38"/>
      <c r="R817" s="38"/>
      <c r="S817" s="38"/>
      <c r="T817" s="38"/>
      <c r="U817" s="38"/>
      <c r="V817" s="38"/>
      <c r="W817" s="38"/>
      <c r="X817" s="53"/>
      <c r="Y817" s="42"/>
      <c r="Z817" s="42"/>
      <c r="AA817" s="42"/>
    </row>
    <row r="818" ht="13.75" customHeight="1">
      <c r="A818" s="14" t="s">
        <v>140</v>
      </c>
      <c r="B818" s="56"/>
      <c r="C818" s="57"/>
      <c r="D818" s="57"/>
      <c r="E818" s="57"/>
      <c r="F818" s="57"/>
      <c r="G818" s="57"/>
      <c r="H818" s="58"/>
      <c r="I818" s="54"/>
      <c r="J818" s="59"/>
      <c r="K818" s="38"/>
      <c r="L818" s="38"/>
      <c r="M818" s="38"/>
      <c r="N818" s="38"/>
      <c r="O818" s="38"/>
      <c r="P818" s="38"/>
      <c r="Q818" s="38"/>
      <c r="R818" s="38"/>
      <c r="S818" s="38"/>
      <c r="T818" s="38"/>
      <c r="U818" s="38"/>
      <c r="V818" s="38"/>
      <c r="W818" s="38"/>
      <c r="X818" s="53"/>
      <c r="Y818" s="42"/>
      <c r="Z818" s="42"/>
      <c r="AA818" s="42"/>
    </row>
    <row r="819" ht="13.75" customHeight="1">
      <c r="A819" s="14" t="s">
        <v>140</v>
      </c>
      <c r="B819" s="56"/>
      <c r="C819" s="57"/>
      <c r="D819" s="57"/>
      <c r="E819" s="57"/>
      <c r="F819" s="57"/>
      <c r="G819" s="57"/>
      <c r="H819" s="58"/>
      <c r="I819" s="54"/>
      <c r="J819" s="59"/>
      <c r="K819" s="38"/>
      <c r="L819" s="38"/>
      <c r="M819" s="38"/>
      <c r="N819" s="38"/>
      <c r="O819" s="38"/>
      <c r="P819" s="38"/>
      <c r="Q819" s="38"/>
      <c r="R819" s="38"/>
      <c r="S819" s="38"/>
      <c r="T819" s="38"/>
      <c r="U819" s="38"/>
      <c r="V819" s="38"/>
      <c r="W819" s="38"/>
      <c r="X819" s="53"/>
      <c r="Y819" s="42"/>
      <c r="Z819" s="42"/>
      <c r="AA819" s="42"/>
    </row>
    <row r="820" ht="13.75" customHeight="1">
      <c r="A820" s="14" t="s">
        <v>140</v>
      </c>
      <c r="B820" s="56"/>
      <c r="C820" s="57"/>
      <c r="D820" s="57"/>
      <c r="E820" s="57"/>
      <c r="F820" s="57"/>
      <c r="G820" s="57"/>
      <c r="H820" s="58"/>
      <c r="I820" s="54"/>
      <c r="J820" s="59"/>
      <c r="K820" s="38"/>
      <c r="L820" s="38"/>
      <c r="M820" s="38"/>
      <c r="N820" s="38"/>
      <c r="O820" s="38"/>
      <c r="P820" s="38"/>
      <c r="Q820" s="38"/>
      <c r="R820" s="38"/>
      <c r="S820" s="38"/>
      <c r="T820" s="38"/>
      <c r="U820" s="38"/>
      <c r="V820" s="38"/>
      <c r="W820" s="38"/>
      <c r="X820" s="53"/>
      <c r="Y820" s="42"/>
      <c r="Z820" s="42"/>
      <c r="AA820" s="42"/>
    </row>
    <row r="821" ht="13.75" customHeight="1">
      <c r="A821" s="14" t="s">
        <v>140</v>
      </c>
      <c r="B821" s="56"/>
      <c r="C821" s="57"/>
      <c r="D821" s="57"/>
      <c r="E821" s="57"/>
      <c r="F821" s="57"/>
      <c r="G821" s="57"/>
      <c r="H821" s="58"/>
      <c r="I821" s="54"/>
      <c r="J821" s="59"/>
      <c r="K821" s="38"/>
      <c r="L821" s="38"/>
      <c r="M821" s="38"/>
      <c r="N821" s="38"/>
      <c r="O821" s="38"/>
      <c r="P821" s="38"/>
      <c r="Q821" s="38"/>
      <c r="R821" s="38"/>
      <c r="S821" s="38"/>
      <c r="T821" s="38"/>
      <c r="U821" s="38"/>
      <c r="V821" s="38"/>
      <c r="W821" s="38"/>
      <c r="X821" s="53"/>
      <c r="Y821" s="42"/>
      <c r="Z821" s="42"/>
      <c r="AA821" s="42"/>
    </row>
    <row r="822" ht="13.75" customHeight="1">
      <c r="A822" s="14" t="s">
        <v>140</v>
      </c>
      <c r="B822" s="56"/>
      <c r="C822" s="57"/>
      <c r="D822" s="57"/>
      <c r="E822" s="57"/>
      <c r="F822" s="57"/>
      <c r="G822" s="57"/>
      <c r="H822" s="58"/>
      <c r="I822" s="54"/>
      <c r="J822" s="59"/>
      <c r="K822" s="38"/>
      <c r="L822" s="38"/>
      <c r="M822" s="38"/>
      <c r="N822" s="38"/>
      <c r="O822" s="38"/>
      <c r="P822" s="38"/>
      <c r="Q822" s="38"/>
      <c r="R822" s="38"/>
      <c r="S822" s="38"/>
      <c r="T822" s="38"/>
      <c r="U822" s="38"/>
      <c r="V822" s="38"/>
      <c r="W822" s="38"/>
      <c r="X822" s="53"/>
      <c r="Y822" s="42"/>
      <c r="Z822" s="42"/>
      <c r="AA822" s="42"/>
    </row>
    <row r="823" ht="13.75" customHeight="1">
      <c r="A823" s="14" t="s">
        <v>140</v>
      </c>
      <c r="B823" s="56"/>
      <c r="C823" s="57"/>
      <c r="D823" s="57"/>
      <c r="E823" s="57"/>
      <c r="F823" s="57"/>
      <c r="G823" s="57"/>
      <c r="H823" s="58"/>
      <c r="I823" s="54"/>
      <c r="J823" s="59"/>
      <c r="K823" s="38"/>
      <c r="L823" s="38"/>
      <c r="M823" s="38"/>
      <c r="N823" s="38"/>
      <c r="O823" s="38"/>
      <c r="P823" s="38"/>
      <c r="Q823" s="38"/>
      <c r="R823" s="38"/>
      <c r="S823" s="38"/>
      <c r="T823" s="38"/>
      <c r="U823" s="38"/>
      <c r="V823" s="38"/>
      <c r="W823" s="38"/>
      <c r="X823" s="53"/>
      <c r="Y823" s="42"/>
      <c r="Z823" s="42"/>
      <c r="AA823" s="42"/>
    </row>
    <row r="824" ht="13.75" customHeight="1">
      <c r="A824" s="14" t="s">
        <v>140</v>
      </c>
      <c r="B824" s="56"/>
      <c r="C824" s="57"/>
      <c r="D824" s="57"/>
      <c r="E824" s="57"/>
      <c r="F824" s="57"/>
      <c r="G824" s="57"/>
      <c r="H824" s="58"/>
      <c r="I824" s="54"/>
      <c r="J824" s="59"/>
      <c r="K824" s="38"/>
      <c r="L824" s="38"/>
      <c r="M824" s="38"/>
      <c r="N824" s="38"/>
      <c r="O824" s="38"/>
      <c r="P824" s="38"/>
      <c r="Q824" s="38"/>
      <c r="R824" s="38"/>
      <c r="S824" s="38"/>
      <c r="T824" s="38"/>
      <c r="U824" s="38"/>
      <c r="V824" s="38"/>
      <c r="W824" s="38"/>
      <c r="X824" s="53"/>
      <c r="Y824" s="42"/>
      <c r="Z824" s="42"/>
      <c r="AA824" s="42"/>
    </row>
    <row r="825" ht="13.75" customHeight="1">
      <c r="A825" s="14" t="s">
        <v>140</v>
      </c>
      <c r="B825" s="56"/>
      <c r="C825" s="57"/>
      <c r="D825" s="57"/>
      <c r="E825" s="57"/>
      <c r="F825" s="57"/>
      <c r="G825" s="57"/>
      <c r="H825" s="58"/>
      <c r="I825" s="54"/>
      <c r="J825" s="59"/>
      <c r="K825" s="38"/>
      <c r="L825" s="38"/>
      <c r="M825" s="38"/>
      <c r="N825" s="38"/>
      <c r="O825" s="38"/>
      <c r="P825" s="38"/>
      <c r="Q825" s="38"/>
      <c r="R825" s="38"/>
      <c r="S825" s="38"/>
      <c r="T825" s="38"/>
      <c r="U825" s="38"/>
      <c r="V825" s="38"/>
      <c r="W825" s="38"/>
      <c r="X825" s="53"/>
      <c r="Y825" s="42"/>
      <c r="Z825" s="42"/>
      <c r="AA825" s="42"/>
    </row>
    <row r="826" ht="13.75" customHeight="1">
      <c r="A826" s="14" t="s">
        <v>140</v>
      </c>
      <c r="B826" s="56"/>
      <c r="C826" s="57"/>
      <c r="D826" s="57"/>
      <c r="E826" s="57"/>
      <c r="F826" s="57"/>
      <c r="G826" s="57"/>
      <c r="H826" s="58"/>
      <c r="I826" s="54"/>
      <c r="J826" s="59"/>
      <c r="K826" s="38"/>
      <c r="L826" s="38"/>
      <c r="M826" s="38"/>
      <c r="N826" s="38"/>
      <c r="O826" s="38"/>
      <c r="P826" s="38"/>
      <c r="Q826" s="38"/>
      <c r="R826" s="38"/>
      <c r="S826" s="38"/>
      <c r="T826" s="38"/>
      <c r="U826" s="38"/>
      <c r="V826" s="38"/>
      <c r="W826" s="38"/>
      <c r="X826" s="53"/>
      <c r="Y826" s="42"/>
      <c r="Z826" s="42"/>
      <c r="AA826" s="42"/>
    </row>
    <row r="827" ht="13.75" customHeight="1">
      <c r="A827" s="14" t="s">
        <v>140</v>
      </c>
      <c r="B827" s="56"/>
      <c r="C827" s="57"/>
      <c r="D827" s="57"/>
      <c r="E827" s="57"/>
      <c r="F827" s="57"/>
      <c r="G827" s="57"/>
      <c r="H827" s="58"/>
      <c r="I827" s="54"/>
      <c r="J827" s="59"/>
      <c r="K827" s="38"/>
      <c r="L827" s="38"/>
      <c r="M827" s="38"/>
      <c r="N827" s="38"/>
      <c r="O827" s="38"/>
      <c r="P827" s="38"/>
      <c r="Q827" s="38"/>
      <c r="R827" s="38"/>
      <c r="S827" s="38"/>
      <c r="T827" s="38"/>
      <c r="U827" s="38"/>
      <c r="V827" s="38"/>
      <c r="W827" s="38"/>
      <c r="X827" s="53"/>
      <c r="Y827" s="42"/>
      <c r="Z827" s="42"/>
      <c r="AA827" s="42"/>
    </row>
    <row r="828" ht="13.75" customHeight="1">
      <c r="A828" s="14" t="s">
        <v>140</v>
      </c>
      <c r="B828" s="56"/>
      <c r="C828" s="57"/>
      <c r="D828" s="57"/>
      <c r="E828" s="57"/>
      <c r="F828" s="57"/>
      <c r="G828" s="57"/>
      <c r="H828" s="58"/>
      <c r="I828" s="54"/>
      <c r="J828" s="59"/>
      <c r="K828" s="38"/>
      <c r="L828" s="38"/>
      <c r="M828" s="38"/>
      <c r="N828" s="38"/>
      <c r="O828" s="38"/>
      <c r="P828" s="38"/>
      <c r="Q828" s="38"/>
      <c r="R828" s="38"/>
      <c r="S828" s="38"/>
      <c r="T828" s="38"/>
      <c r="U828" s="38"/>
      <c r="V828" s="38"/>
      <c r="W828" s="38"/>
      <c r="X828" s="53"/>
      <c r="Y828" s="42"/>
      <c r="Z828" s="42"/>
      <c r="AA828" s="42"/>
    </row>
    <row r="829" ht="13.75" customHeight="1">
      <c r="A829" s="14" t="s">
        <v>140</v>
      </c>
      <c r="B829" s="56"/>
      <c r="C829" s="57"/>
      <c r="D829" s="57"/>
      <c r="E829" s="57"/>
      <c r="F829" s="57"/>
      <c r="G829" s="57"/>
      <c r="H829" s="58"/>
      <c r="I829" s="54"/>
      <c r="J829" s="59"/>
      <c r="K829" s="38"/>
      <c r="L829" s="38"/>
      <c r="M829" s="38"/>
      <c r="N829" s="38"/>
      <c r="O829" s="38"/>
      <c r="P829" s="38"/>
      <c r="Q829" s="38"/>
      <c r="R829" s="38"/>
      <c r="S829" s="38"/>
      <c r="T829" s="38"/>
      <c r="U829" s="38"/>
      <c r="V829" s="38"/>
      <c r="W829" s="38"/>
      <c r="X829" s="53"/>
      <c r="Y829" s="42"/>
      <c r="Z829" s="42"/>
      <c r="AA829" s="42"/>
    </row>
    <row r="830" ht="13.75" customHeight="1">
      <c r="A830" s="14" t="s">
        <v>140</v>
      </c>
      <c r="B830" s="56"/>
      <c r="C830" s="57"/>
      <c r="D830" s="57"/>
      <c r="E830" s="57"/>
      <c r="F830" s="57"/>
      <c r="G830" s="57"/>
      <c r="H830" s="58"/>
      <c r="I830" s="54"/>
      <c r="J830" s="59"/>
      <c r="K830" s="38"/>
      <c r="L830" s="38"/>
      <c r="M830" s="38"/>
      <c r="N830" s="38"/>
      <c r="O830" s="38"/>
      <c r="P830" s="38"/>
      <c r="Q830" s="38"/>
      <c r="R830" s="38"/>
      <c r="S830" s="38"/>
      <c r="T830" s="38"/>
      <c r="U830" s="38"/>
      <c r="V830" s="38"/>
      <c r="W830" s="38"/>
      <c r="X830" s="53"/>
      <c r="Y830" s="42"/>
      <c r="Z830" s="42"/>
      <c r="AA830" s="42"/>
    </row>
    <row r="831" ht="13.75" customHeight="1">
      <c r="A831" s="14" t="s">
        <v>140</v>
      </c>
      <c r="B831" s="56"/>
      <c r="C831" s="57"/>
      <c r="D831" s="57"/>
      <c r="E831" s="57"/>
      <c r="F831" s="57"/>
      <c r="G831" s="57"/>
      <c r="H831" s="58"/>
      <c r="I831" s="54"/>
      <c r="J831" s="59"/>
      <c r="K831" s="38"/>
      <c r="L831" s="38"/>
      <c r="M831" s="38"/>
      <c r="N831" s="38"/>
      <c r="O831" s="38"/>
      <c r="P831" s="38"/>
      <c r="Q831" s="38"/>
      <c r="R831" s="38"/>
      <c r="S831" s="38"/>
      <c r="T831" s="38"/>
      <c r="U831" s="38"/>
      <c r="V831" s="38"/>
      <c r="W831" s="38"/>
      <c r="X831" s="53"/>
      <c r="Y831" s="42"/>
      <c r="Z831" s="42"/>
      <c r="AA831" s="42"/>
    </row>
    <row r="832" ht="13.75" customHeight="1">
      <c r="A832" s="14" t="s">
        <v>140</v>
      </c>
      <c r="B832" s="56"/>
      <c r="C832" s="57"/>
      <c r="D832" s="57"/>
      <c r="E832" s="57"/>
      <c r="F832" s="57"/>
      <c r="G832" s="57"/>
      <c r="H832" s="58"/>
      <c r="I832" s="54"/>
      <c r="J832" s="59"/>
      <c r="K832" s="38"/>
      <c r="L832" s="38"/>
      <c r="M832" s="38"/>
      <c r="N832" s="38"/>
      <c r="O832" s="38"/>
      <c r="P832" s="38"/>
      <c r="Q832" s="38"/>
      <c r="R832" s="38"/>
      <c r="S832" s="38"/>
      <c r="T832" s="38"/>
      <c r="U832" s="38"/>
      <c r="V832" s="38"/>
      <c r="W832" s="38"/>
      <c r="X832" s="53"/>
      <c r="Y832" s="42"/>
      <c r="Z832" s="42"/>
      <c r="AA832" s="42"/>
    </row>
    <row r="833" ht="13.75" customHeight="1">
      <c r="A833" s="14" t="s">
        <v>140</v>
      </c>
      <c r="B833" s="56"/>
      <c r="C833" s="57"/>
      <c r="D833" s="57"/>
      <c r="E833" s="57"/>
      <c r="F833" s="57"/>
      <c r="G833" s="57"/>
      <c r="H833" s="58"/>
      <c r="I833" s="54"/>
      <c r="J833" s="59"/>
      <c r="K833" s="38"/>
      <c r="L833" s="38"/>
      <c r="M833" s="38"/>
      <c r="N833" s="38"/>
      <c r="O833" s="38"/>
      <c r="P833" s="38"/>
      <c r="Q833" s="38"/>
      <c r="R833" s="38"/>
      <c r="S833" s="38"/>
      <c r="T833" s="38"/>
      <c r="U833" s="38"/>
      <c r="V833" s="38"/>
      <c r="W833" s="38"/>
      <c r="X833" s="53"/>
      <c r="Y833" s="42"/>
      <c r="Z833" s="42"/>
      <c r="AA833" s="42"/>
    </row>
    <row r="834" ht="13.75" customHeight="1">
      <c r="A834" s="14" t="s">
        <v>140</v>
      </c>
      <c r="B834" s="56"/>
      <c r="C834" s="57"/>
      <c r="D834" s="57"/>
      <c r="E834" s="57"/>
      <c r="F834" s="57"/>
      <c r="G834" s="57"/>
      <c r="H834" s="58"/>
      <c r="I834" s="54"/>
      <c r="J834" s="59"/>
      <c r="K834" s="38"/>
      <c r="L834" s="38"/>
      <c r="M834" s="38"/>
      <c r="N834" s="38"/>
      <c r="O834" s="38"/>
      <c r="P834" s="38"/>
      <c r="Q834" s="38"/>
      <c r="R834" s="38"/>
      <c r="S834" s="38"/>
      <c r="T834" s="38"/>
      <c r="U834" s="38"/>
      <c r="V834" s="38"/>
      <c r="W834" s="38"/>
      <c r="X834" s="53"/>
      <c r="Y834" s="42"/>
      <c r="Z834" s="42"/>
      <c r="AA834" s="42"/>
    </row>
    <row r="835" ht="13.75" customHeight="1">
      <c r="A835" s="14" t="s">
        <v>140</v>
      </c>
      <c r="B835" s="56"/>
      <c r="C835" s="57"/>
      <c r="D835" s="57"/>
      <c r="E835" s="57"/>
      <c r="F835" s="57"/>
      <c r="G835" s="57"/>
      <c r="H835" s="58"/>
      <c r="I835" s="54"/>
      <c r="J835" s="59"/>
      <c r="K835" s="38"/>
      <c r="L835" s="38"/>
      <c r="M835" s="38"/>
      <c r="N835" s="38"/>
      <c r="O835" s="38"/>
      <c r="P835" s="38"/>
      <c r="Q835" s="38"/>
      <c r="R835" s="38"/>
      <c r="S835" s="38"/>
      <c r="T835" s="38"/>
      <c r="U835" s="38"/>
      <c r="V835" s="38"/>
      <c r="W835" s="38"/>
      <c r="X835" s="53"/>
      <c r="Y835" s="42"/>
      <c r="Z835" s="42"/>
      <c r="AA835" s="42"/>
    </row>
    <row r="836" ht="13.75" customHeight="1">
      <c r="A836" s="14" t="s">
        <v>140</v>
      </c>
      <c r="B836" s="56"/>
      <c r="C836" s="57"/>
      <c r="D836" s="57"/>
      <c r="E836" s="57"/>
      <c r="F836" s="57"/>
      <c r="G836" s="57"/>
      <c r="H836" s="58"/>
      <c r="I836" s="54"/>
      <c r="J836" s="59"/>
      <c r="K836" s="38"/>
      <c r="L836" s="38"/>
      <c r="M836" s="38"/>
      <c r="N836" s="38"/>
      <c r="O836" s="38"/>
      <c r="P836" s="38"/>
      <c r="Q836" s="38"/>
      <c r="R836" s="38"/>
      <c r="S836" s="38"/>
      <c r="T836" s="38"/>
      <c r="U836" s="38"/>
      <c r="V836" s="38"/>
      <c r="W836" s="38"/>
      <c r="X836" s="53"/>
      <c r="Y836" s="42"/>
      <c r="Z836" s="42"/>
      <c r="AA836" s="42"/>
    </row>
    <row r="837" ht="13.75" customHeight="1">
      <c r="A837" s="14" t="s">
        <v>140</v>
      </c>
      <c r="B837" s="56"/>
      <c r="C837" s="57"/>
      <c r="D837" s="57"/>
      <c r="E837" s="57"/>
      <c r="F837" s="57"/>
      <c r="G837" s="57"/>
      <c r="H837" s="58"/>
      <c r="I837" s="54"/>
      <c r="J837" s="59"/>
      <c r="K837" s="38"/>
      <c r="L837" s="38"/>
      <c r="M837" s="38"/>
      <c r="N837" s="38"/>
      <c r="O837" s="38"/>
      <c r="P837" s="38"/>
      <c r="Q837" s="38"/>
      <c r="R837" s="38"/>
      <c r="S837" s="38"/>
      <c r="T837" s="38"/>
      <c r="U837" s="38"/>
      <c r="V837" s="38"/>
      <c r="W837" s="38"/>
      <c r="X837" s="53"/>
      <c r="Y837" s="42"/>
      <c r="Z837" s="42"/>
      <c r="AA837" s="42"/>
    </row>
    <row r="838" ht="13.75" customHeight="1">
      <c r="A838" s="14" t="s">
        <v>140</v>
      </c>
      <c r="B838" s="56"/>
      <c r="C838" s="57"/>
      <c r="D838" s="57"/>
      <c r="E838" s="57"/>
      <c r="F838" s="57"/>
      <c r="G838" s="57"/>
      <c r="H838" s="58"/>
      <c r="I838" s="54"/>
      <c r="J838" s="59"/>
      <c r="K838" s="38"/>
      <c r="L838" s="38"/>
      <c r="M838" s="38"/>
      <c r="N838" s="38"/>
      <c r="O838" s="38"/>
      <c r="P838" s="38"/>
      <c r="Q838" s="38"/>
      <c r="R838" s="38"/>
      <c r="S838" s="38"/>
      <c r="T838" s="38"/>
      <c r="U838" s="38"/>
      <c r="V838" s="38"/>
      <c r="W838" s="38"/>
      <c r="X838" s="53"/>
      <c r="Y838" s="42"/>
      <c r="Z838" s="42"/>
      <c r="AA838" s="42"/>
    </row>
    <row r="839" ht="13.75" customHeight="1">
      <c r="A839" s="14" t="s">
        <v>140</v>
      </c>
      <c r="B839" s="56"/>
      <c r="C839" s="57"/>
      <c r="D839" s="57"/>
      <c r="E839" s="57"/>
      <c r="F839" s="57"/>
      <c r="G839" s="57"/>
      <c r="H839" s="58"/>
      <c r="I839" s="54"/>
      <c r="J839" s="59"/>
      <c r="K839" s="38"/>
      <c r="L839" s="38"/>
      <c r="M839" s="38"/>
      <c r="N839" s="38"/>
      <c r="O839" s="38"/>
      <c r="P839" s="38"/>
      <c r="Q839" s="38"/>
      <c r="R839" s="38"/>
      <c r="S839" s="38"/>
      <c r="T839" s="38"/>
      <c r="U839" s="38"/>
      <c r="V839" s="38"/>
      <c r="W839" s="38"/>
      <c r="X839" s="53"/>
      <c r="Y839" s="42"/>
      <c r="Z839" s="42"/>
      <c r="AA839" s="42"/>
    </row>
    <row r="840" ht="13.75" customHeight="1">
      <c r="A840" s="14" t="s">
        <v>140</v>
      </c>
      <c r="B840" s="56"/>
      <c r="C840" s="57"/>
      <c r="D840" s="57"/>
      <c r="E840" s="57"/>
      <c r="F840" s="57"/>
      <c r="G840" s="57"/>
      <c r="H840" s="58"/>
      <c r="I840" s="54"/>
      <c r="J840" s="59"/>
      <c r="K840" s="38"/>
      <c r="L840" s="38"/>
      <c r="M840" s="38"/>
      <c r="N840" s="38"/>
      <c r="O840" s="38"/>
      <c r="P840" s="38"/>
      <c r="Q840" s="38"/>
      <c r="R840" s="38"/>
      <c r="S840" s="38"/>
      <c r="T840" s="38"/>
      <c r="U840" s="38"/>
      <c r="V840" s="38"/>
      <c r="W840" s="38"/>
      <c r="X840" s="53"/>
      <c r="Y840" s="42"/>
      <c r="Z840" s="42"/>
      <c r="AA840" s="42"/>
    </row>
    <row r="841" ht="13.75" customHeight="1">
      <c r="A841" s="14" t="s">
        <v>140</v>
      </c>
      <c r="B841" s="56"/>
      <c r="C841" s="57"/>
      <c r="D841" s="57"/>
      <c r="E841" s="57"/>
      <c r="F841" s="57"/>
      <c r="G841" s="57"/>
      <c r="H841" s="58"/>
      <c r="I841" s="54"/>
      <c r="J841" s="59"/>
      <c r="K841" s="38"/>
      <c r="L841" s="38"/>
      <c r="M841" s="38"/>
      <c r="N841" s="38"/>
      <c r="O841" s="38"/>
      <c r="P841" s="38"/>
      <c r="Q841" s="38"/>
      <c r="R841" s="38"/>
      <c r="S841" s="38"/>
      <c r="T841" s="38"/>
      <c r="U841" s="38"/>
      <c r="V841" s="38"/>
      <c r="W841" s="38"/>
      <c r="X841" s="53"/>
      <c r="Y841" s="42"/>
      <c r="Z841" s="42"/>
      <c r="AA841" s="42"/>
    </row>
    <row r="842" ht="13.75" customHeight="1">
      <c r="A842" s="14" t="s">
        <v>140</v>
      </c>
      <c r="B842" s="56"/>
      <c r="C842" s="57"/>
      <c r="D842" s="57"/>
      <c r="E842" s="57"/>
      <c r="F842" s="57"/>
      <c r="G842" s="57"/>
      <c r="H842" s="58"/>
      <c r="I842" s="54"/>
      <c r="J842" s="59"/>
      <c r="K842" s="38"/>
      <c r="L842" s="38"/>
      <c r="M842" s="38"/>
      <c r="N842" s="38"/>
      <c r="O842" s="38"/>
      <c r="P842" s="38"/>
      <c r="Q842" s="38"/>
      <c r="R842" s="38"/>
      <c r="S842" s="38"/>
      <c r="T842" s="38"/>
      <c r="U842" s="38"/>
      <c r="V842" s="38"/>
      <c r="W842" s="38"/>
      <c r="X842" s="53"/>
      <c r="Y842" s="42"/>
      <c r="Z842" s="42"/>
      <c r="AA842" s="42"/>
    </row>
    <row r="843" ht="13.75" customHeight="1">
      <c r="A843" s="14" t="s">
        <v>140</v>
      </c>
      <c r="B843" s="56"/>
      <c r="C843" s="57"/>
      <c r="D843" s="57"/>
      <c r="E843" s="57"/>
      <c r="F843" s="57"/>
      <c r="G843" s="57"/>
      <c r="H843" s="58"/>
      <c r="I843" s="54"/>
      <c r="J843" s="59"/>
      <c r="K843" s="38"/>
      <c r="L843" s="38"/>
      <c r="M843" s="38"/>
      <c r="N843" s="38"/>
      <c r="O843" s="38"/>
      <c r="P843" s="38"/>
      <c r="Q843" s="38"/>
      <c r="R843" s="38"/>
      <c r="S843" s="38"/>
      <c r="T843" s="38"/>
      <c r="U843" s="38"/>
      <c r="V843" s="38"/>
      <c r="W843" s="38"/>
      <c r="X843" s="53"/>
      <c r="Y843" s="42"/>
      <c r="Z843" s="42"/>
      <c r="AA843" s="42"/>
    </row>
    <row r="844" ht="13.75" customHeight="1">
      <c r="A844" s="14" t="s">
        <v>140</v>
      </c>
      <c r="B844" s="56"/>
      <c r="C844" s="57"/>
      <c r="D844" s="57"/>
      <c r="E844" s="57"/>
      <c r="F844" s="57"/>
      <c r="G844" s="57"/>
      <c r="H844" s="58"/>
      <c r="I844" s="54"/>
      <c r="J844" s="59"/>
      <c r="K844" s="38"/>
      <c r="L844" s="38"/>
      <c r="M844" s="38"/>
      <c r="N844" s="38"/>
      <c r="O844" s="38"/>
      <c r="P844" s="38"/>
      <c r="Q844" s="38"/>
      <c r="R844" s="38"/>
      <c r="S844" s="38"/>
      <c r="T844" s="38"/>
      <c r="U844" s="38"/>
      <c r="V844" s="38"/>
      <c r="W844" s="38"/>
      <c r="X844" s="53"/>
      <c r="Y844" s="42"/>
      <c r="Z844" s="42"/>
      <c r="AA844" s="42"/>
    </row>
    <row r="845" ht="13.75" customHeight="1">
      <c r="A845" s="14" t="s">
        <v>140</v>
      </c>
      <c r="B845" s="56"/>
      <c r="C845" s="57"/>
      <c r="D845" s="57"/>
      <c r="E845" s="57"/>
      <c r="F845" s="57"/>
      <c r="G845" s="57"/>
      <c r="H845" s="58"/>
      <c r="I845" s="54"/>
      <c r="J845" s="59"/>
      <c r="K845" s="38"/>
      <c r="L845" s="38"/>
      <c r="M845" s="38"/>
      <c r="N845" s="38"/>
      <c r="O845" s="38"/>
      <c r="P845" s="38"/>
      <c r="Q845" s="38"/>
      <c r="R845" s="38"/>
      <c r="S845" s="38"/>
      <c r="T845" s="38"/>
      <c r="U845" s="38"/>
      <c r="V845" s="38"/>
      <c r="W845" s="38"/>
      <c r="X845" s="53"/>
      <c r="Y845" s="42"/>
      <c r="Z845" s="42"/>
      <c r="AA845" s="42"/>
    </row>
    <row r="846" ht="13.75" customHeight="1">
      <c r="A846" s="14" t="s">
        <v>140</v>
      </c>
      <c r="B846" s="56"/>
      <c r="C846" s="57"/>
      <c r="D846" s="57"/>
      <c r="E846" s="57"/>
      <c r="F846" s="57"/>
      <c r="G846" s="57"/>
      <c r="H846" s="58"/>
      <c r="I846" s="54"/>
      <c r="J846" s="59"/>
      <c r="K846" s="38"/>
      <c r="L846" s="38"/>
      <c r="M846" s="38"/>
      <c r="N846" s="38"/>
      <c r="O846" s="38"/>
      <c r="P846" s="38"/>
      <c r="Q846" s="38"/>
      <c r="R846" s="38"/>
      <c r="S846" s="38"/>
      <c r="T846" s="38"/>
      <c r="U846" s="38"/>
      <c r="V846" s="38"/>
      <c r="W846" s="38"/>
      <c r="X846" s="53"/>
      <c r="Y846" s="42"/>
      <c r="Z846" s="42"/>
      <c r="AA846" s="42"/>
    </row>
    <row r="847" ht="13.75" customHeight="1">
      <c r="A847" s="14" t="s">
        <v>140</v>
      </c>
      <c r="B847" s="56"/>
      <c r="C847" s="57"/>
      <c r="D847" s="57"/>
      <c r="E847" s="57"/>
      <c r="F847" s="57"/>
      <c r="G847" s="57"/>
      <c r="H847" s="58"/>
      <c r="I847" s="54"/>
      <c r="J847" s="59"/>
      <c r="K847" s="38"/>
      <c r="L847" s="38"/>
      <c r="M847" s="38"/>
      <c r="N847" s="38"/>
      <c r="O847" s="38"/>
      <c r="P847" s="38"/>
      <c r="Q847" s="38"/>
      <c r="R847" s="38"/>
      <c r="S847" s="38"/>
      <c r="T847" s="38"/>
      <c r="U847" s="38"/>
      <c r="V847" s="38"/>
      <c r="W847" s="38"/>
      <c r="X847" s="53"/>
      <c r="Y847" s="42"/>
      <c r="Z847" s="42"/>
      <c r="AA847" s="42"/>
    </row>
    <row r="848" ht="13.75" customHeight="1">
      <c r="A848" s="14" t="s">
        <v>140</v>
      </c>
      <c r="B848" s="56"/>
      <c r="C848" s="57"/>
      <c r="D848" s="57"/>
      <c r="E848" s="57"/>
      <c r="F848" s="57"/>
      <c r="G848" s="57"/>
      <c r="H848" s="58"/>
      <c r="I848" s="54"/>
      <c r="J848" s="59"/>
      <c r="K848" s="38"/>
      <c r="L848" s="38"/>
      <c r="M848" s="38"/>
      <c r="N848" s="38"/>
      <c r="O848" s="38"/>
      <c r="P848" s="38"/>
      <c r="Q848" s="38"/>
      <c r="R848" s="38"/>
      <c r="S848" s="38"/>
      <c r="T848" s="38"/>
      <c r="U848" s="38"/>
      <c r="V848" s="38"/>
      <c r="W848" s="38"/>
      <c r="X848" s="53"/>
      <c r="Y848" s="42"/>
      <c r="Z848" s="42"/>
      <c r="AA848" s="42"/>
    </row>
    <row r="849" ht="13.75" customHeight="1">
      <c r="A849" s="14" t="s">
        <v>140</v>
      </c>
      <c r="B849" s="56"/>
      <c r="C849" s="57"/>
      <c r="D849" s="57"/>
      <c r="E849" s="57"/>
      <c r="F849" s="57"/>
      <c r="G849" s="57"/>
      <c r="H849" s="58"/>
      <c r="I849" s="54"/>
      <c r="J849" s="59"/>
      <c r="K849" s="38"/>
      <c r="L849" s="38"/>
      <c r="M849" s="38"/>
      <c r="N849" s="38"/>
      <c r="O849" s="38"/>
      <c r="P849" s="38"/>
      <c r="Q849" s="38"/>
      <c r="R849" s="38"/>
      <c r="S849" s="38"/>
      <c r="T849" s="38"/>
      <c r="U849" s="38"/>
      <c r="V849" s="38"/>
      <c r="W849" s="38"/>
      <c r="X849" s="53"/>
      <c r="Y849" s="42"/>
      <c r="Z849" s="42"/>
      <c r="AA849" s="42"/>
    </row>
    <row r="850" ht="13.75" customHeight="1">
      <c r="A850" s="14" t="s">
        <v>140</v>
      </c>
      <c r="B850" s="56"/>
      <c r="C850" s="57"/>
      <c r="D850" s="57"/>
      <c r="E850" s="57"/>
      <c r="F850" s="57"/>
      <c r="G850" s="57"/>
      <c r="H850" s="58"/>
      <c r="I850" s="54"/>
      <c r="J850" s="59"/>
      <c r="K850" s="38"/>
      <c r="L850" s="38"/>
      <c r="M850" s="38"/>
      <c r="N850" s="38"/>
      <c r="O850" s="38"/>
      <c r="P850" s="38"/>
      <c r="Q850" s="38"/>
      <c r="R850" s="38"/>
      <c r="S850" s="38"/>
      <c r="T850" s="38"/>
      <c r="U850" s="38"/>
      <c r="V850" s="38"/>
      <c r="W850" s="38"/>
      <c r="X850" s="53"/>
      <c r="Y850" s="42"/>
      <c r="Z850" s="42"/>
      <c r="AA850" s="42"/>
    </row>
    <row r="851" ht="13.75" customHeight="1">
      <c r="A851" s="14" t="s">
        <v>140</v>
      </c>
      <c r="B851" s="56"/>
      <c r="C851" s="57"/>
      <c r="D851" s="57"/>
      <c r="E851" s="57"/>
      <c r="F851" s="57"/>
      <c r="G851" s="57"/>
      <c r="H851" s="58"/>
      <c r="I851" s="54"/>
      <c r="J851" s="59"/>
      <c r="K851" s="38"/>
      <c r="L851" s="38"/>
      <c r="M851" s="38"/>
      <c r="N851" s="38"/>
      <c r="O851" s="38"/>
      <c r="P851" s="38"/>
      <c r="Q851" s="38"/>
      <c r="R851" s="38"/>
      <c r="S851" s="38"/>
      <c r="T851" s="38"/>
      <c r="U851" s="38"/>
      <c r="V851" s="38"/>
      <c r="W851" s="38"/>
      <c r="X851" s="53"/>
      <c r="Y851" s="42"/>
      <c r="Z851" s="42"/>
      <c r="AA851" s="42"/>
    </row>
    <row r="852" ht="13.75" customHeight="1">
      <c r="A852" s="14" t="s">
        <v>140</v>
      </c>
      <c r="B852" s="56"/>
      <c r="C852" s="57"/>
      <c r="D852" s="57"/>
      <c r="E852" s="57"/>
      <c r="F852" s="57"/>
      <c r="G852" s="57"/>
      <c r="H852" s="58"/>
      <c r="I852" s="54"/>
      <c r="J852" s="59"/>
      <c r="K852" s="38"/>
      <c r="L852" s="38"/>
      <c r="M852" s="38"/>
      <c r="N852" s="38"/>
      <c r="O852" s="38"/>
      <c r="P852" s="38"/>
      <c r="Q852" s="38"/>
      <c r="R852" s="38"/>
      <c r="S852" s="38"/>
      <c r="T852" s="38"/>
      <c r="U852" s="38"/>
      <c r="V852" s="38"/>
      <c r="W852" s="38"/>
      <c r="X852" s="53"/>
      <c r="Y852" s="42"/>
      <c r="Z852" s="42"/>
      <c r="AA852" s="42"/>
    </row>
    <row r="853" ht="13.75" customHeight="1">
      <c r="A853" s="14" t="s">
        <v>140</v>
      </c>
      <c r="B853" s="56"/>
      <c r="C853" s="57"/>
      <c r="D853" s="57"/>
      <c r="E853" s="57"/>
      <c r="F853" s="57"/>
      <c r="G853" s="57"/>
      <c r="H853" s="58"/>
      <c r="I853" s="54"/>
      <c r="J853" s="59"/>
      <c r="K853" s="38"/>
      <c r="L853" s="38"/>
      <c r="M853" s="38"/>
      <c r="N853" s="38"/>
      <c r="O853" s="38"/>
      <c r="P853" s="38"/>
      <c r="Q853" s="38"/>
      <c r="R853" s="38"/>
      <c r="S853" s="38"/>
      <c r="T853" s="38"/>
      <c r="U853" s="38"/>
      <c r="V853" s="38"/>
      <c r="W853" s="38"/>
      <c r="X853" s="53"/>
      <c r="Y853" s="42"/>
      <c r="Z853" s="42"/>
      <c r="AA853" s="42"/>
    </row>
    <row r="854" ht="13.75" customHeight="1">
      <c r="A854" s="14" t="s">
        <v>140</v>
      </c>
      <c r="B854" s="56"/>
      <c r="C854" s="57"/>
      <c r="D854" s="57"/>
      <c r="E854" s="57"/>
      <c r="F854" s="57"/>
      <c r="G854" s="57"/>
      <c r="H854" s="58"/>
      <c r="I854" s="54"/>
      <c r="J854" s="59"/>
      <c r="K854" s="38"/>
      <c r="L854" s="38"/>
      <c r="M854" s="38"/>
      <c r="N854" s="38"/>
      <c r="O854" s="38"/>
      <c r="P854" s="38"/>
      <c r="Q854" s="38"/>
      <c r="R854" s="38"/>
      <c r="S854" s="38"/>
      <c r="T854" s="38"/>
      <c r="U854" s="38"/>
      <c r="V854" s="38"/>
      <c r="W854" s="38"/>
      <c r="X854" s="53"/>
      <c r="Y854" s="42"/>
      <c r="Z854" s="42"/>
      <c r="AA854" s="42"/>
    </row>
    <row r="855" ht="13.75" customHeight="1">
      <c r="A855" s="14" t="s">
        <v>140</v>
      </c>
      <c r="B855" s="56"/>
      <c r="C855" s="57"/>
      <c r="D855" s="57"/>
      <c r="E855" s="57"/>
      <c r="F855" s="57"/>
      <c r="G855" s="57"/>
      <c r="H855" s="58"/>
      <c r="I855" s="54"/>
      <c r="J855" s="59"/>
      <c r="K855" s="38"/>
      <c r="L855" s="38"/>
      <c r="M855" s="38"/>
      <c r="N855" s="38"/>
      <c r="O855" s="38"/>
      <c r="P855" s="38"/>
      <c r="Q855" s="38"/>
      <c r="R855" s="38"/>
      <c r="S855" s="38"/>
      <c r="T855" s="38"/>
      <c r="U855" s="38"/>
      <c r="V855" s="38"/>
      <c r="W855" s="38"/>
      <c r="X855" s="53"/>
      <c r="Y855" s="42"/>
      <c r="Z855" s="42"/>
      <c r="AA855" s="42"/>
    </row>
    <row r="856" ht="13.75" customHeight="1">
      <c r="A856" s="14" t="s">
        <v>140</v>
      </c>
      <c r="B856" s="56"/>
      <c r="C856" s="57"/>
      <c r="D856" s="57"/>
      <c r="E856" s="57"/>
      <c r="F856" s="57"/>
      <c r="G856" s="57"/>
      <c r="H856" s="58"/>
      <c r="I856" s="54"/>
      <c r="J856" s="59"/>
      <c r="K856" s="38"/>
      <c r="L856" s="38"/>
      <c r="M856" s="38"/>
      <c r="N856" s="38"/>
      <c r="O856" s="38"/>
      <c r="P856" s="38"/>
      <c r="Q856" s="38"/>
      <c r="R856" s="38"/>
      <c r="S856" s="38"/>
      <c r="T856" s="38"/>
      <c r="U856" s="38"/>
      <c r="V856" s="38"/>
      <c r="W856" s="38"/>
      <c r="X856" s="53"/>
      <c r="Y856" s="42"/>
      <c r="Z856" s="42"/>
      <c r="AA856" s="42"/>
    </row>
    <row r="857" ht="13.75" customHeight="1">
      <c r="A857" s="14" t="s">
        <v>140</v>
      </c>
      <c r="B857" s="56"/>
      <c r="C857" s="57"/>
      <c r="D857" s="57"/>
      <c r="E857" s="57"/>
      <c r="F857" s="57"/>
      <c r="G857" s="57"/>
      <c r="H857" s="58"/>
      <c r="I857" s="54"/>
      <c r="J857" s="59"/>
      <c r="K857" s="38"/>
      <c r="L857" s="38"/>
      <c r="M857" s="38"/>
      <c r="N857" s="38"/>
      <c r="O857" s="38"/>
      <c r="P857" s="38"/>
      <c r="Q857" s="38"/>
      <c r="R857" s="38"/>
      <c r="S857" s="38"/>
      <c r="T857" s="38"/>
      <c r="U857" s="38"/>
      <c r="V857" s="38"/>
      <c r="W857" s="38"/>
      <c r="X857" s="53"/>
      <c r="Y857" s="42"/>
      <c r="Z857" s="42"/>
      <c r="AA857" s="42"/>
    </row>
    <row r="858" ht="13.75" customHeight="1">
      <c r="A858" s="14" t="s">
        <v>140</v>
      </c>
      <c r="B858" s="56"/>
      <c r="C858" s="57"/>
      <c r="D858" s="57"/>
      <c r="E858" s="57"/>
      <c r="F858" s="57"/>
      <c r="G858" s="57"/>
      <c r="H858" s="58"/>
      <c r="I858" s="54"/>
      <c r="J858" s="59"/>
      <c r="K858" s="38"/>
      <c r="L858" s="38"/>
      <c r="M858" s="38"/>
      <c r="N858" s="38"/>
      <c r="O858" s="38"/>
      <c r="P858" s="38"/>
      <c r="Q858" s="38"/>
      <c r="R858" s="38"/>
      <c r="S858" s="38"/>
      <c r="T858" s="38"/>
      <c r="U858" s="38"/>
      <c r="V858" s="38"/>
      <c r="W858" s="38"/>
      <c r="X858" s="53"/>
      <c r="Y858" s="42"/>
      <c r="Z858" s="42"/>
      <c r="AA858" s="42"/>
    </row>
    <row r="859" ht="13.75" customHeight="1">
      <c r="A859" s="14" t="s">
        <v>140</v>
      </c>
      <c r="B859" s="56"/>
      <c r="C859" s="57"/>
      <c r="D859" s="57"/>
      <c r="E859" s="57"/>
      <c r="F859" s="57"/>
      <c r="G859" s="57"/>
      <c r="H859" s="58"/>
      <c r="I859" s="54"/>
      <c r="J859" s="59"/>
      <c r="K859" s="38"/>
      <c r="L859" s="38"/>
      <c r="M859" s="38"/>
      <c r="N859" s="38"/>
      <c r="O859" s="38"/>
      <c r="P859" s="38"/>
      <c r="Q859" s="38"/>
      <c r="R859" s="38"/>
      <c r="S859" s="38"/>
      <c r="T859" s="38"/>
      <c r="U859" s="38"/>
      <c r="V859" s="38"/>
      <c r="W859" s="38"/>
      <c r="X859" s="53"/>
      <c r="Y859" s="42"/>
      <c r="Z859" s="42"/>
      <c r="AA859" s="42"/>
    </row>
    <row r="860" ht="13.75" customHeight="1">
      <c r="A860" s="14" t="s">
        <v>140</v>
      </c>
      <c r="B860" s="56"/>
      <c r="C860" s="57"/>
      <c r="D860" s="57"/>
      <c r="E860" s="57"/>
      <c r="F860" s="57"/>
      <c r="G860" s="57"/>
      <c r="H860" s="58"/>
      <c r="I860" s="54"/>
      <c r="J860" s="59"/>
      <c r="K860" s="38"/>
      <c r="L860" s="38"/>
      <c r="M860" s="38"/>
      <c r="N860" s="38"/>
      <c r="O860" s="38"/>
      <c r="P860" s="38"/>
      <c r="Q860" s="38"/>
      <c r="R860" s="38"/>
      <c r="S860" s="38"/>
      <c r="T860" s="38"/>
      <c r="U860" s="38"/>
      <c r="V860" s="38"/>
      <c r="W860" s="38"/>
      <c r="X860" s="53"/>
      <c r="Y860" s="42"/>
      <c r="Z860" s="42"/>
      <c r="AA860" s="42"/>
    </row>
    <row r="861" ht="13.75" customHeight="1">
      <c r="A861" s="14" t="s">
        <v>140</v>
      </c>
      <c r="B861" s="56"/>
      <c r="C861" s="57"/>
      <c r="D861" s="57"/>
      <c r="E861" s="57"/>
      <c r="F861" s="57"/>
      <c r="G861" s="57"/>
      <c r="H861" s="58"/>
      <c r="I861" s="54"/>
      <c r="J861" s="59"/>
      <c r="K861" s="38"/>
      <c r="L861" s="38"/>
      <c r="M861" s="38"/>
      <c r="N861" s="38"/>
      <c r="O861" s="38"/>
      <c r="P861" s="38"/>
      <c r="Q861" s="38"/>
      <c r="R861" s="38"/>
      <c r="S861" s="38"/>
      <c r="T861" s="38"/>
      <c r="U861" s="38"/>
      <c r="V861" s="38"/>
      <c r="W861" s="38"/>
      <c r="X861" s="53"/>
      <c r="Y861" s="42"/>
      <c r="Z861" s="42"/>
      <c r="AA861" s="42"/>
    </row>
    <row r="862" ht="13.75" customHeight="1">
      <c r="A862" s="14" t="s">
        <v>140</v>
      </c>
      <c r="B862" s="56"/>
      <c r="C862" s="57"/>
      <c r="D862" s="57"/>
      <c r="E862" s="57"/>
      <c r="F862" s="57"/>
      <c r="G862" s="57"/>
      <c r="H862" s="58"/>
      <c r="I862" s="54"/>
      <c r="J862" s="59"/>
      <c r="K862" s="38"/>
      <c r="L862" s="38"/>
      <c r="M862" s="38"/>
      <c r="N862" s="38"/>
      <c r="O862" s="38"/>
      <c r="P862" s="38"/>
      <c r="Q862" s="38"/>
      <c r="R862" s="38"/>
      <c r="S862" s="38"/>
      <c r="T862" s="38"/>
      <c r="U862" s="38"/>
      <c r="V862" s="38"/>
      <c r="W862" s="38"/>
      <c r="X862" s="53"/>
      <c r="Y862" s="42"/>
      <c r="Z862" s="42"/>
      <c r="AA862" s="42"/>
    </row>
    <row r="863" ht="13.75" customHeight="1">
      <c r="A863" s="14" t="s">
        <v>140</v>
      </c>
      <c r="B863" s="56"/>
      <c r="C863" s="57"/>
      <c r="D863" s="57"/>
      <c r="E863" s="57"/>
      <c r="F863" s="57"/>
      <c r="G863" s="57"/>
      <c r="H863" s="58"/>
      <c r="I863" s="54"/>
      <c r="J863" s="59"/>
      <c r="K863" s="38"/>
      <c r="L863" s="38"/>
      <c r="M863" s="38"/>
      <c r="N863" s="38"/>
      <c r="O863" s="38"/>
      <c r="P863" s="38"/>
      <c r="Q863" s="38"/>
      <c r="R863" s="38"/>
      <c r="S863" s="38"/>
      <c r="T863" s="38"/>
      <c r="U863" s="38"/>
      <c r="V863" s="38"/>
      <c r="W863" s="38"/>
      <c r="X863" s="53"/>
      <c r="Y863" s="42"/>
      <c r="Z863" s="42"/>
      <c r="AA863" s="42"/>
    </row>
    <row r="864" ht="13.75" customHeight="1">
      <c r="A864" s="14" t="s">
        <v>140</v>
      </c>
      <c r="B864" s="56"/>
      <c r="C864" s="57"/>
      <c r="D864" s="57"/>
      <c r="E864" s="57"/>
      <c r="F864" s="57"/>
      <c r="G864" s="57"/>
      <c r="H864" s="58"/>
      <c r="I864" s="54"/>
      <c r="J864" s="59"/>
      <c r="K864" s="38"/>
      <c r="L864" s="38"/>
      <c r="M864" s="38"/>
      <c r="N864" s="38"/>
      <c r="O864" s="38"/>
      <c r="P864" s="38"/>
      <c r="Q864" s="38"/>
      <c r="R864" s="38"/>
      <c r="S864" s="38"/>
      <c r="T864" s="38"/>
      <c r="U864" s="38"/>
      <c r="V864" s="38"/>
      <c r="W864" s="38"/>
      <c r="X864" s="53"/>
      <c r="Y864" s="42"/>
      <c r="Z864" s="42"/>
      <c r="AA864" s="42"/>
    </row>
    <row r="865" ht="13.75" customHeight="1">
      <c r="A865" s="14" t="s">
        <v>140</v>
      </c>
      <c r="B865" s="56"/>
      <c r="C865" s="57"/>
      <c r="D865" s="57"/>
      <c r="E865" s="57"/>
      <c r="F865" s="57"/>
      <c r="G865" s="57"/>
      <c r="H865" s="58"/>
      <c r="I865" s="54"/>
      <c r="J865" s="59"/>
      <c r="K865" s="38"/>
      <c r="L865" s="38"/>
      <c r="M865" s="38"/>
      <c r="N865" s="38"/>
      <c r="O865" s="38"/>
      <c r="P865" s="38"/>
      <c r="Q865" s="38"/>
      <c r="R865" s="38"/>
      <c r="S865" s="38"/>
      <c r="T865" s="38"/>
      <c r="U865" s="38"/>
      <c r="V865" s="38"/>
      <c r="W865" s="38"/>
      <c r="X865" s="53"/>
      <c r="Y865" s="42"/>
      <c r="Z865" s="42"/>
      <c r="AA865" s="42"/>
    </row>
    <row r="866" ht="13.75" customHeight="1">
      <c r="A866" s="14" t="s">
        <v>140</v>
      </c>
      <c r="B866" s="56"/>
      <c r="C866" s="57"/>
      <c r="D866" s="57"/>
      <c r="E866" s="57"/>
      <c r="F866" s="57"/>
      <c r="G866" s="57"/>
      <c r="H866" s="58"/>
      <c r="I866" s="54"/>
      <c r="J866" s="59"/>
      <c r="K866" s="38"/>
      <c r="L866" s="38"/>
      <c r="M866" s="38"/>
      <c r="N866" s="38"/>
      <c r="O866" s="38"/>
      <c r="P866" s="38"/>
      <c r="Q866" s="38"/>
      <c r="R866" s="38"/>
      <c r="S866" s="38"/>
      <c r="T866" s="38"/>
      <c r="U866" s="38"/>
      <c r="V866" s="38"/>
      <c r="W866" s="38"/>
      <c r="X866" s="53"/>
      <c r="Y866" s="42"/>
      <c r="Z866" s="42"/>
      <c r="AA866" s="42"/>
    </row>
    <row r="867" ht="13.75" customHeight="1">
      <c r="A867" s="14" t="s">
        <v>140</v>
      </c>
      <c r="B867" s="56"/>
      <c r="C867" s="57"/>
      <c r="D867" s="57"/>
      <c r="E867" s="57"/>
      <c r="F867" s="57"/>
      <c r="G867" s="57"/>
      <c r="H867" s="58"/>
      <c r="I867" s="54"/>
      <c r="J867" s="59"/>
      <c r="K867" s="38"/>
      <c r="L867" s="38"/>
      <c r="M867" s="38"/>
      <c r="N867" s="38"/>
      <c r="O867" s="38"/>
      <c r="P867" s="38"/>
      <c r="Q867" s="38"/>
      <c r="R867" s="38"/>
      <c r="S867" s="38"/>
      <c r="T867" s="38"/>
      <c r="U867" s="38"/>
      <c r="V867" s="38"/>
      <c r="W867" s="38"/>
      <c r="X867" s="53"/>
      <c r="Y867" s="42"/>
      <c r="Z867" s="42"/>
      <c r="AA867" s="42"/>
    </row>
    <row r="868" ht="13.75" customHeight="1">
      <c r="A868" s="14" t="s">
        <v>140</v>
      </c>
      <c r="B868" s="56"/>
      <c r="C868" s="57"/>
      <c r="D868" s="57"/>
      <c r="E868" s="57"/>
      <c r="F868" s="57"/>
      <c r="G868" s="57"/>
      <c r="H868" s="58"/>
      <c r="I868" s="54"/>
      <c r="J868" s="59"/>
      <c r="K868" s="38"/>
      <c r="L868" s="38"/>
      <c r="M868" s="38"/>
      <c r="N868" s="38"/>
      <c r="O868" s="38"/>
      <c r="P868" s="38"/>
      <c r="Q868" s="38"/>
      <c r="R868" s="38"/>
      <c r="S868" s="38"/>
      <c r="T868" s="38"/>
      <c r="U868" s="38"/>
      <c r="V868" s="38"/>
      <c r="W868" s="38"/>
      <c r="X868" s="53"/>
      <c r="Y868" s="42"/>
      <c r="Z868" s="42"/>
      <c r="AA868" s="42"/>
    </row>
    <row r="869" ht="13.75" customHeight="1">
      <c r="A869" s="14" t="s">
        <v>140</v>
      </c>
      <c r="B869" s="56"/>
      <c r="C869" s="57"/>
      <c r="D869" s="57"/>
      <c r="E869" s="57"/>
      <c r="F869" s="57"/>
      <c r="G869" s="57"/>
      <c r="H869" s="58"/>
      <c r="I869" s="54"/>
      <c r="J869" s="59"/>
      <c r="K869" s="38"/>
      <c r="L869" s="38"/>
      <c r="M869" s="38"/>
      <c r="N869" s="38"/>
      <c r="O869" s="38"/>
      <c r="P869" s="38"/>
      <c r="Q869" s="38"/>
      <c r="R869" s="38"/>
      <c r="S869" s="38"/>
      <c r="T869" s="38"/>
      <c r="U869" s="38"/>
      <c r="V869" s="38"/>
      <c r="W869" s="38"/>
      <c r="X869" s="53"/>
      <c r="Y869" s="42"/>
      <c r="Z869" s="42"/>
      <c r="AA869" s="42"/>
    </row>
    <row r="870" ht="13.75" customHeight="1">
      <c r="A870" s="14" t="s">
        <v>140</v>
      </c>
      <c r="B870" s="56"/>
      <c r="C870" s="57"/>
      <c r="D870" s="57"/>
      <c r="E870" s="57"/>
      <c r="F870" s="57"/>
      <c r="G870" s="57"/>
      <c r="H870" s="58"/>
      <c r="I870" s="54"/>
      <c r="J870" s="59"/>
      <c r="K870" s="38"/>
      <c r="L870" s="38"/>
      <c r="M870" s="38"/>
      <c r="N870" s="38"/>
      <c r="O870" s="38"/>
      <c r="P870" s="38"/>
      <c r="Q870" s="38"/>
      <c r="R870" s="38"/>
      <c r="S870" s="38"/>
      <c r="T870" s="38"/>
      <c r="U870" s="38"/>
      <c r="V870" s="38"/>
      <c r="W870" s="38"/>
      <c r="X870" s="53"/>
      <c r="Y870" s="42"/>
      <c r="Z870" s="42"/>
      <c r="AA870" s="42"/>
    </row>
    <row r="871" ht="13.75" customHeight="1">
      <c r="A871" s="14" t="s">
        <v>140</v>
      </c>
      <c r="B871" s="56"/>
      <c r="C871" s="57"/>
      <c r="D871" s="57"/>
      <c r="E871" s="57"/>
      <c r="F871" s="57"/>
      <c r="G871" s="57"/>
      <c r="H871" s="58"/>
      <c r="I871" s="54"/>
      <c r="J871" s="59"/>
      <c r="K871" s="38"/>
      <c r="L871" s="38"/>
      <c r="M871" s="38"/>
      <c r="N871" s="38"/>
      <c r="O871" s="38"/>
      <c r="P871" s="38"/>
      <c r="Q871" s="38"/>
      <c r="R871" s="38"/>
      <c r="S871" s="38"/>
      <c r="T871" s="38"/>
      <c r="U871" s="38"/>
      <c r="V871" s="38"/>
      <c r="W871" s="38"/>
      <c r="X871" s="53"/>
      <c r="Y871" s="42"/>
      <c r="Z871" s="42"/>
      <c r="AA871" s="42"/>
    </row>
    <row r="872" ht="13.75" customHeight="1">
      <c r="A872" s="14" t="s">
        <v>140</v>
      </c>
      <c r="B872" s="56"/>
      <c r="C872" s="57"/>
      <c r="D872" s="57"/>
      <c r="E872" s="57"/>
      <c r="F872" s="57"/>
      <c r="G872" s="57"/>
      <c r="H872" s="58"/>
      <c r="I872" s="54"/>
      <c r="J872" s="59"/>
      <c r="K872" s="38"/>
      <c r="L872" s="38"/>
      <c r="M872" s="38"/>
      <c r="N872" s="38"/>
      <c r="O872" s="38"/>
      <c r="P872" s="38"/>
      <c r="Q872" s="38"/>
      <c r="R872" s="38"/>
      <c r="S872" s="38"/>
      <c r="T872" s="38"/>
      <c r="U872" s="38"/>
      <c r="V872" s="38"/>
      <c r="W872" s="38"/>
      <c r="X872" s="53"/>
      <c r="Y872" s="42"/>
      <c r="Z872" s="42"/>
      <c r="AA872" s="42"/>
    </row>
    <row r="873" ht="13.75" customHeight="1">
      <c r="A873" s="14" t="s">
        <v>140</v>
      </c>
      <c r="B873" s="56"/>
      <c r="C873" s="57"/>
      <c r="D873" s="57"/>
      <c r="E873" s="57"/>
      <c r="F873" s="57"/>
      <c r="G873" s="57"/>
      <c r="H873" s="58"/>
      <c r="I873" s="54"/>
      <c r="J873" s="59"/>
      <c r="K873" s="38"/>
      <c r="L873" s="38"/>
      <c r="M873" s="38"/>
      <c r="N873" s="38"/>
      <c r="O873" s="38"/>
      <c r="P873" s="38"/>
      <c r="Q873" s="38"/>
      <c r="R873" s="38"/>
      <c r="S873" s="38"/>
      <c r="T873" s="38"/>
      <c r="U873" s="38"/>
      <c r="V873" s="38"/>
      <c r="W873" s="38"/>
      <c r="X873" s="53"/>
      <c r="Y873" s="42"/>
      <c r="Z873" s="42"/>
      <c r="AA873" s="42"/>
    </row>
    <row r="874" ht="13.75" customHeight="1">
      <c r="A874" s="14" t="s">
        <v>140</v>
      </c>
      <c r="B874" s="56"/>
      <c r="C874" s="57"/>
      <c r="D874" s="57"/>
      <c r="E874" s="57"/>
      <c r="F874" s="57"/>
      <c r="G874" s="57"/>
      <c r="H874" s="58"/>
      <c r="I874" s="54"/>
      <c r="J874" s="59"/>
      <c r="K874" s="38"/>
      <c r="L874" s="38"/>
      <c r="M874" s="38"/>
      <c r="N874" s="38"/>
      <c r="O874" s="38"/>
      <c r="P874" s="38"/>
      <c r="Q874" s="38"/>
      <c r="R874" s="38"/>
      <c r="S874" s="38"/>
      <c r="T874" s="38"/>
      <c r="U874" s="38"/>
      <c r="V874" s="38"/>
      <c r="W874" s="38"/>
      <c r="X874" s="53"/>
      <c r="Y874" s="42"/>
      <c r="Z874" s="42"/>
      <c r="AA874" s="42"/>
    </row>
    <row r="875" ht="13.75" customHeight="1">
      <c r="A875" s="14" t="s">
        <v>140</v>
      </c>
      <c r="B875" s="56"/>
      <c r="C875" s="57"/>
      <c r="D875" s="57"/>
      <c r="E875" s="57"/>
      <c r="F875" s="57"/>
      <c r="G875" s="57"/>
      <c r="H875" s="58"/>
      <c r="I875" s="54"/>
      <c r="J875" s="59"/>
      <c r="K875" s="38"/>
      <c r="L875" s="38"/>
      <c r="M875" s="38"/>
      <c r="N875" s="38"/>
      <c r="O875" s="38"/>
      <c r="P875" s="38"/>
      <c r="Q875" s="38"/>
      <c r="R875" s="38"/>
      <c r="S875" s="38"/>
      <c r="T875" s="38"/>
      <c r="U875" s="38"/>
      <c r="V875" s="38"/>
      <c r="W875" s="38"/>
      <c r="X875" s="53"/>
      <c r="Y875" s="42"/>
      <c r="Z875" s="42"/>
      <c r="AA875" s="42"/>
    </row>
    <row r="876" ht="13.75" customHeight="1">
      <c r="A876" s="14" t="s">
        <v>140</v>
      </c>
      <c r="B876" s="56"/>
      <c r="C876" s="57"/>
      <c r="D876" s="57"/>
      <c r="E876" s="57"/>
      <c r="F876" s="57"/>
      <c r="G876" s="57"/>
      <c r="H876" s="58"/>
      <c r="I876" s="54"/>
      <c r="J876" s="59"/>
      <c r="K876" s="38"/>
      <c r="L876" s="38"/>
      <c r="M876" s="38"/>
      <c r="N876" s="38"/>
      <c r="O876" s="38"/>
      <c r="P876" s="38"/>
      <c r="Q876" s="38"/>
      <c r="R876" s="38"/>
      <c r="S876" s="38"/>
      <c r="T876" s="38"/>
      <c r="U876" s="38"/>
      <c r="V876" s="38"/>
      <c r="W876" s="38"/>
      <c r="X876" s="53"/>
      <c r="Y876" s="42"/>
      <c r="Z876" s="42"/>
      <c r="AA876" s="42"/>
    </row>
    <row r="877" ht="13.75" customHeight="1">
      <c r="A877" s="14" t="s">
        <v>140</v>
      </c>
      <c r="B877" s="56"/>
      <c r="C877" s="57"/>
      <c r="D877" s="57"/>
      <c r="E877" s="57"/>
      <c r="F877" s="57"/>
      <c r="G877" s="57"/>
      <c r="H877" s="58"/>
      <c r="I877" s="54"/>
      <c r="J877" s="59"/>
      <c r="K877" s="38"/>
      <c r="L877" s="38"/>
      <c r="M877" s="38"/>
      <c r="N877" s="38"/>
      <c r="O877" s="38"/>
      <c r="P877" s="38"/>
      <c r="Q877" s="38"/>
      <c r="R877" s="38"/>
      <c r="S877" s="38"/>
      <c r="T877" s="38"/>
      <c r="U877" s="38"/>
      <c r="V877" s="38"/>
      <c r="W877" s="38"/>
      <c r="X877" s="53"/>
      <c r="Y877" s="42"/>
      <c r="Z877" s="42"/>
      <c r="AA877" s="42"/>
    </row>
    <row r="878" ht="13.75" customHeight="1">
      <c r="A878" s="14" t="s">
        <v>140</v>
      </c>
      <c r="B878" s="56"/>
      <c r="C878" s="57"/>
      <c r="D878" s="57"/>
      <c r="E878" s="57"/>
      <c r="F878" s="57"/>
      <c r="G878" s="57"/>
      <c r="H878" s="58"/>
      <c r="I878" s="54"/>
      <c r="J878" s="59"/>
      <c r="K878" s="38"/>
      <c r="L878" s="38"/>
      <c r="M878" s="38"/>
      <c r="N878" s="38"/>
      <c r="O878" s="38"/>
      <c r="P878" s="38"/>
      <c r="Q878" s="38"/>
      <c r="R878" s="38"/>
      <c r="S878" s="38"/>
      <c r="T878" s="38"/>
      <c r="U878" s="38"/>
      <c r="V878" s="38"/>
      <c r="W878" s="38"/>
      <c r="X878" s="53"/>
      <c r="Y878" s="42"/>
      <c r="Z878" s="42"/>
      <c r="AA878" s="42"/>
    </row>
    <row r="879" ht="13.75" customHeight="1">
      <c r="A879" s="14" t="s">
        <v>140</v>
      </c>
      <c r="B879" s="56"/>
      <c r="C879" s="57"/>
      <c r="D879" s="57"/>
      <c r="E879" s="57"/>
      <c r="F879" s="57"/>
      <c r="G879" s="57"/>
      <c r="H879" s="58"/>
      <c r="I879" s="54"/>
      <c r="J879" s="59"/>
      <c r="K879" s="38"/>
      <c r="L879" s="38"/>
      <c r="M879" s="38"/>
      <c r="N879" s="38"/>
      <c r="O879" s="38"/>
      <c r="P879" s="38"/>
      <c r="Q879" s="38"/>
      <c r="R879" s="38"/>
      <c r="S879" s="38"/>
      <c r="T879" s="38"/>
      <c r="U879" s="38"/>
      <c r="V879" s="38"/>
      <c r="W879" s="38"/>
      <c r="X879" s="53"/>
      <c r="Y879" s="42"/>
      <c r="Z879" s="42"/>
      <c r="AA879" s="42"/>
    </row>
    <row r="880" ht="13.75" customHeight="1">
      <c r="A880" s="14" t="s">
        <v>140</v>
      </c>
      <c r="B880" s="56"/>
      <c r="C880" s="57"/>
      <c r="D880" s="57"/>
      <c r="E880" s="57"/>
      <c r="F880" s="57"/>
      <c r="G880" s="57"/>
      <c r="H880" s="58"/>
      <c r="I880" s="54"/>
      <c r="J880" s="59"/>
      <c r="K880" s="38"/>
      <c r="L880" s="38"/>
      <c r="M880" s="38"/>
      <c r="N880" s="38"/>
      <c r="O880" s="38"/>
      <c r="P880" s="38"/>
      <c r="Q880" s="38"/>
      <c r="R880" s="38"/>
      <c r="S880" s="38"/>
      <c r="T880" s="38"/>
      <c r="U880" s="38"/>
      <c r="V880" s="38"/>
      <c r="W880" s="38"/>
      <c r="X880" s="53"/>
      <c r="Y880" s="42"/>
      <c r="Z880" s="42"/>
      <c r="AA880" s="42"/>
    </row>
    <row r="881" ht="13.75" customHeight="1">
      <c r="A881" s="14" t="s">
        <v>140</v>
      </c>
      <c r="B881" s="56"/>
      <c r="C881" s="57"/>
      <c r="D881" s="57"/>
      <c r="E881" s="57"/>
      <c r="F881" s="57"/>
      <c r="G881" s="57"/>
      <c r="H881" s="58"/>
      <c r="I881" s="54"/>
      <c r="J881" s="59"/>
      <c r="K881" s="38"/>
      <c r="L881" s="38"/>
      <c r="M881" s="38"/>
      <c r="N881" s="38"/>
      <c r="O881" s="38"/>
      <c r="P881" s="38"/>
      <c r="Q881" s="38"/>
      <c r="R881" s="38"/>
      <c r="S881" s="38"/>
      <c r="T881" s="38"/>
      <c r="U881" s="38"/>
      <c r="V881" s="38"/>
      <c r="W881" s="38"/>
      <c r="X881" s="53"/>
      <c r="Y881" s="42"/>
      <c r="Z881" s="42"/>
      <c r="AA881" s="42"/>
    </row>
    <row r="882" ht="13.75" customHeight="1">
      <c r="A882" s="14" t="s">
        <v>140</v>
      </c>
      <c r="B882" s="56"/>
      <c r="C882" s="57"/>
      <c r="D882" s="57"/>
      <c r="E882" s="57"/>
      <c r="F882" s="57"/>
      <c r="G882" s="57"/>
      <c r="H882" s="58"/>
      <c r="I882" s="54"/>
      <c r="J882" s="59"/>
      <c r="K882" s="38"/>
      <c r="L882" s="38"/>
      <c r="M882" s="38"/>
      <c r="N882" s="38"/>
      <c r="O882" s="38"/>
      <c r="P882" s="38"/>
      <c r="Q882" s="38"/>
      <c r="R882" s="38"/>
      <c r="S882" s="38"/>
      <c r="T882" s="38"/>
      <c r="U882" s="38"/>
      <c r="V882" s="38"/>
      <c r="W882" s="38"/>
      <c r="X882" s="53"/>
      <c r="Y882" s="42"/>
      <c r="Z882" s="42"/>
      <c r="AA882" s="42"/>
    </row>
    <row r="883" ht="13.75" customHeight="1">
      <c r="A883" s="14" t="s">
        <v>140</v>
      </c>
      <c r="B883" s="56"/>
      <c r="C883" s="57"/>
      <c r="D883" s="57"/>
      <c r="E883" s="57"/>
      <c r="F883" s="57"/>
      <c r="G883" s="57"/>
      <c r="H883" s="58"/>
      <c r="I883" s="54"/>
      <c r="J883" s="59"/>
      <c r="K883" s="38"/>
      <c r="L883" s="38"/>
      <c r="M883" s="38"/>
      <c r="N883" s="38"/>
      <c r="O883" s="38"/>
      <c r="P883" s="38"/>
      <c r="Q883" s="38"/>
      <c r="R883" s="38"/>
      <c r="S883" s="38"/>
      <c r="T883" s="38"/>
      <c r="U883" s="38"/>
      <c r="V883" s="38"/>
      <c r="W883" s="38"/>
      <c r="X883" s="53"/>
      <c r="Y883" s="42"/>
      <c r="Z883" s="42"/>
      <c r="AA883" s="42"/>
    </row>
    <row r="884" ht="13.75" customHeight="1">
      <c r="A884" s="14" t="s">
        <v>140</v>
      </c>
      <c r="B884" s="56"/>
      <c r="C884" s="57"/>
      <c r="D884" s="57"/>
      <c r="E884" s="57"/>
      <c r="F884" s="57"/>
      <c r="G884" s="57"/>
      <c r="H884" s="58"/>
      <c r="I884" s="54"/>
      <c r="J884" s="59"/>
      <c r="K884" s="38"/>
      <c r="L884" s="38"/>
      <c r="M884" s="38"/>
      <c r="N884" s="38"/>
      <c r="O884" s="38"/>
      <c r="P884" s="38"/>
      <c r="Q884" s="38"/>
      <c r="R884" s="38"/>
      <c r="S884" s="38"/>
      <c r="T884" s="38"/>
      <c r="U884" s="38"/>
      <c r="V884" s="38"/>
      <c r="W884" s="38"/>
      <c r="X884" s="53"/>
      <c r="Y884" s="42"/>
      <c r="Z884" s="42"/>
      <c r="AA884" s="42"/>
    </row>
    <row r="885" ht="13.75" customHeight="1">
      <c r="A885" s="14" t="s">
        <v>140</v>
      </c>
      <c r="B885" s="56"/>
      <c r="C885" s="57"/>
      <c r="D885" s="57"/>
      <c r="E885" s="57"/>
      <c r="F885" s="57"/>
      <c r="G885" s="57"/>
      <c r="H885" s="58"/>
      <c r="I885" s="54"/>
      <c r="J885" s="59"/>
      <c r="K885" s="38"/>
      <c r="L885" s="38"/>
      <c r="M885" s="38"/>
      <c r="N885" s="38"/>
      <c r="O885" s="38"/>
      <c r="P885" s="38"/>
      <c r="Q885" s="38"/>
      <c r="R885" s="38"/>
      <c r="S885" s="38"/>
      <c r="T885" s="38"/>
      <c r="U885" s="38"/>
      <c r="V885" s="38"/>
      <c r="W885" s="38"/>
      <c r="X885" s="53"/>
      <c r="Y885" s="42"/>
      <c r="Z885" s="42"/>
      <c r="AA885" s="42"/>
    </row>
    <row r="886" ht="13.75" customHeight="1">
      <c r="A886" s="14" t="s">
        <v>140</v>
      </c>
      <c r="B886" s="56"/>
      <c r="C886" s="57"/>
      <c r="D886" s="57"/>
      <c r="E886" s="57"/>
      <c r="F886" s="57"/>
      <c r="G886" s="57"/>
      <c r="H886" s="58"/>
      <c r="I886" s="54"/>
      <c r="J886" s="59"/>
      <c r="K886" s="38"/>
      <c r="L886" s="38"/>
      <c r="M886" s="38"/>
      <c r="N886" s="38"/>
      <c r="O886" s="38"/>
      <c r="P886" s="38"/>
      <c r="Q886" s="38"/>
      <c r="R886" s="38"/>
      <c r="S886" s="38"/>
      <c r="T886" s="38"/>
      <c r="U886" s="38"/>
      <c r="V886" s="38"/>
      <c r="W886" s="38"/>
      <c r="X886" s="53"/>
      <c r="Y886" s="42"/>
      <c r="Z886" s="42"/>
      <c r="AA886" s="42"/>
    </row>
    <row r="887" ht="13.75" customHeight="1">
      <c r="A887" s="14" t="s">
        <v>140</v>
      </c>
      <c r="B887" s="56"/>
      <c r="C887" s="57"/>
      <c r="D887" s="57"/>
      <c r="E887" s="57"/>
      <c r="F887" s="57"/>
      <c r="G887" s="57"/>
      <c r="H887" s="58"/>
      <c r="I887" s="54"/>
      <c r="J887" s="59"/>
      <c r="K887" s="38"/>
      <c r="L887" s="38"/>
      <c r="M887" s="38"/>
      <c r="N887" s="38"/>
      <c r="O887" s="38"/>
      <c r="P887" s="38"/>
      <c r="Q887" s="38"/>
      <c r="R887" s="38"/>
      <c r="S887" s="38"/>
      <c r="T887" s="38"/>
      <c r="U887" s="38"/>
      <c r="V887" s="38"/>
      <c r="W887" s="38"/>
      <c r="X887" s="53"/>
      <c r="Y887" s="42"/>
      <c r="Z887" s="42"/>
      <c r="AA887" s="42"/>
    </row>
    <row r="888" ht="13.75" customHeight="1">
      <c r="A888" s="14" t="s">
        <v>140</v>
      </c>
      <c r="B888" s="56"/>
      <c r="C888" s="57"/>
      <c r="D888" s="57"/>
      <c r="E888" s="57"/>
      <c r="F888" s="57"/>
      <c r="G888" s="57"/>
      <c r="H888" s="58"/>
      <c r="I888" s="54"/>
      <c r="J888" s="59"/>
      <c r="K888" s="38"/>
      <c r="L888" s="38"/>
      <c r="M888" s="38"/>
      <c r="N888" s="38"/>
      <c r="O888" s="38"/>
      <c r="P888" s="38"/>
      <c r="Q888" s="38"/>
      <c r="R888" s="38"/>
      <c r="S888" s="38"/>
      <c r="T888" s="38"/>
      <c r="U888" s="38"/>
      <c r="V888" s="38"/>
      <c r="W888" s="38"/>
      <c r="X888" s="53"/>
      <c r="Y888" s="42"/>
      <c r="Z888" s="42"/>
      <c r="AA888" s="42"/>
    </row>
    <row r="889" ht="13.75" customHeight="1">
      <c r="A889" s="14" t="s">
        <v>140</v>
      </c>
      <c r="B889" s="56"/>
      <c r="C889" s="57"/>
      <c r="D889" s="57"/>
      <c r="E889" s="57"/>
      <c r="F889" s="57"/>
      <c r="G889" s="57"/>
      <c r="H889" s="58"/>
      <c r="I889" s="54"/>
      <c r="J889" s="59"/>
      <c r="K889" s="38"/>
      <c r="L889" s="38"/>
      <c r="M889" s="38"/>
      <c r="N889" s="38"/>
      <c r="O889" s="38"/>
      <c r="P889" s="38"/>
      <c r="Q889" s="38"/>
      <c r="R889" s="38"/>
      <c r="S889" s="38"/>
      <c r="T889" s="38"/>
      <c r="U889" s="38"/>
      <c r="V889" s="38"/>
      <c r="W889" s="38"/>
      <c r="X889" s="53"/>
      <c r="Y889" s="42"/>
      <c r="Z889" s="42"/>
      <c r="AA889" s="42"/>
    </row>
    <row r="890" ht="13.75" customHeight="1">
      <c r="A890" s="14" t="s">
        <v>140</v>
      </c>
      <c r="B890" s="56"/>
      <c r="C890" s="57"/>
      <c r="D890" s="57"/>
      <c r="E890" s="57"/>
      <c r="F890" s="57"/>
      <c r="G890" s="57"/>
      <c r="H890" s="58"/>
      <c r="I890" s="54"/>
      <c r="J890" s="59"/>
      <c r="K890" s="38"/>
      <c r="L890" s="38"/>
      <c r="M890" s="38"/>
      <c r="N890" s="38"/>
      <c r="O890" s="38"/>
      <c r="P890" s="38"/>
      <c r="Q890" s="38"/>
      <c r="R890" s="38"/>
      <c r="S890" s="38"/>
      <c r="T890" s="38"/>
      <c r="U890" s="38"/>
      <c r="V890" s="38"/>
      <c r="W890" s="38"/>
      <c r="X890" s="53"/>
      <c r="Y890" s="42"/>
      <c r="Z890" s="42"/>
      <c r="AA890" s="42"/>
    </row>
    <row r="891" ht="13.75" customHeight="1">
      <c r="A891" s="14" t="s">
        <v>140</v>
      </c>
      <c r="B891" s="56"/>
      <c r="C891" s="57"/>
      <c r="D891" s="57"/>
      <c r="E891" s="57"/>
      <c r="F891" s="57"/>
      <c r="G891" s="57"/>
      <c r="H891" s="58"/>
      <c r="I891" s="54"/>
      <c r="J891" s="59"/>
      <c r="K891" s="38"/>
      <c r="L891" s="38"/>
      <c r="M891" s="38"/>
      <c r="N891" s="38"/>
      <c r="O891" s="38"/>
      <c r="P891" s="38"/>
      <c r="Q891" s="38"/>
      <c r="R891" s="38"/>
      <c r="S891" s="38"/>
      <c r="T891" s="38"/>
      <c r="U891" s="38"/>
      <c r="V891" s="38"/>
      <c r="W891" s="38"/>
      <c r="X891" s="53"/>
      <c r="Y891" s="42"/>
      <c r="Z891" s="42"/>
      <c r="AA891" s="42"/>
    </row>
    <row r="892" ht="13.75" customHeight="1">
      <c r="A892" s="14" t="s">
        <v>140</v>
      </c>
      <c r="B892" s="56"/>
      <c r="C892" s="57"/>
      <c r="D892" s="57"/>
      <c r="E892" s="57"/>
      <c r="F892" s="57"/>
      <c r="G892" s="57"/>
      <c r="H892" s="58"/>
      <c r="I892" s="54"/>
      <c r="J892" s="59"/>
      <c r="K892" s="38"/>
      <c r="L892" s="38"/>
      <c r="M892" s="38"/>
      <c r="N892" s="38"/>
      <c r="O892" s="38"/>
      <c r="P892" s="38"/>
      <c r="Q892" s="38"/>
      <c r="R892" s="38"/>
      <c r="S892" s="38"/>
      <c r="T892" s="38"/>
      <c r="U892" s="38"/>
      <c r="V892" s="38"/>
      <c r="W892" s="38"/>
      <c r="X892" s="53"/>
      <c r="Y892" s="42"/>
      <c r="Z892" s="42"/>
      <c r="AA892" s="42"/>
    </row>
    <row r="893" ht="13.75" customHeight="1">
      <c r="A893" s="14" t="s">
        <v>140</v>
      </c>
      <c r="B893" s="56"/>
      <c r="C893" s="57"/>
      <c r="D893" s="57"/>
      <c r="E893" s="57"/>
      <c r="F893" s="57"/>
      <c r="G893" s="57"/>
      <c r="H893" s="58"/>
      <c r="I893" s="54"/>
      <c r="J893" s="59"/>
      <c r="K893" s="38"/>
      <c r="L893" s="38"/>
      <c r="M893" s="38"/>
      <c r="N893" s="38"/>
      <c r="O893" s="38"/>
      <c r="P893" s="38"/>
      <c r="Q893" s="38"/>
      <c r="R893" s="38"/>
      <c r="S893" s="38"/>
      <c r="T893" s="38"/>
      <c r="U893" s="38"/>
      <c r="V893" s="38"/>
      <c r="W893" s="38"/>
      <c r="X893" s="53"/>
      <c r="Y893" s="42"/>
      <c r="Z893" s="42"/>
      <c r="AA893" s="42"/>
    </row>
    <row r="894" ht="13.75" customHeight="1">
      <c r="A894" s="14" t="s">
        <v>140</v>
      </c>
      <c r="B894" s="56"/>
      <c r="C894" s="57"/>
      <c r="D894" s="57"/>
      <c r="E894" s="57"/>
      <c r="F894" s="57"/>
      <c r="G894" s="57"/>
      <c r="H894" s="58"/>
      <c r="I894" s="54"/>
      <c r="J894" s="59"/>
      <c r="K894" s="38"/>
      <c r="L894" s="38"/>
      <c r="M894" s="38"/>
      <c r="N894" s="38"/>
      <c r="O894" s="38"/>
      <c r="P894" s="38"/>
      <c r="Q894" s="38"/>
      <c r="R894" s="38"/>
      <c r="S894" s="38"/>
      <c r="T894" s="38"/>
      <c r="U894" s="38"/>
      <c r="V894" s="38"/>
      <c r="W894" s="38"/>
      <c r="X894" s="53"/>
      <c r="Y894" s="42"/>
      <c r="Z894" s="42"/>
      <c r="AA894" s="42"/>
    </row>
    <row r="895" ht="13.75" customHeight="1">
      <c r="A895" s="14" t="s">
        <v>140</v>
      </c>
      <c r="B895" s="56"/>
      <c r="C895" s="57"/>
      <c r="D895" s="57"/>
      <c r="E895" s="57"/>
      <c r="F895" s="57"/>
      <c r="G895" s="57"/>
      <c r="H895" s="58"/>
      <c r="I895" s="54"/>
      <c r="J895" s="59"/>
      <c r="K895" s="38"/>
      <c r="L895" s="38"/>
      <c r="M895" s="38"/>
      <c r="N895" s="38"/>
      <c r="O895" s="38"/>
      <c r="P895" s="38"/>
      <c r="Q895" s="38"/>
      <c r="R895" s="38"/>
      <c r="S895" s="38"/>
      <c r="T895" s="38"/>
      <c r="U895" s="38"/>
      <c r="V895" s="38"/>
      <c r="W895" s="38"/>
      <c r="X895" s="53"/>
      <c r="Y895" s="42"/>
      <c r="Z895" s="42"/>
      <c r="AA895" s="42"/>
    </row>
    <row r="896" ht="13.75" customHeight="1">
      <c r="A896" s="14" t="s">
        <v>140</v>
      </c>
      <c r="B896" s="56"/>
      <c r="C896" s="57"/>
      <c r="D896" s="57"/>
      <c r="E896" s="57"/>
      <c r="F896" s="57"/>
      <c r="G896" s="57"/>
      <c r="H896" s="58"/>
      <c r="I896" s="54"/>
      <c r="J896" s="59"/>
      <c r="K896" s="38"/>
      <c r="L896" s="38"/>
      <c r="M896" s="38"/>
      <c r="N896" s="38"/>
      <c r="O896" s="38"/>
      <c r="P896" s="38"/>
      <c r="Q896" s="38"/>
      <c r="R896" s="38"/>
      <c r="S896" s="38"/>
      <c r="T896" s="38"/>
      <c r="U896" s="38"/>
      <c r="V896" s="38"/>
      <c r="W896" s="38"/>
      <c r="X896" s="53"/>
      <c r="Y896" s="42"/>
      <c r="Z896" s="42"/>
      <c r="AA896" s="42"/>
    </row>
    <row r="897" ht="13.75" customHeight="1">
      <c r="A897" s="14" t="s">
        <v>140</v>
      </c>
      <c r="B897" s="56"/>
      <c r="C897" s="57"/>
      <c r="D897" s="57"/>
      <c r="E897" s="57"/>
      <c r="F897" s="57"/>
      <c r="G897" s="57"/>
      <c r="H897" s="58"/>
      <c r="I897" s="54"/>
      <c r="J897" s="59"/>
      <c r="K897" s="38"/>
      <c r="L897" s="38"/>
      <c r="M897" s="38"/>
      <c r="N897" s="38"/>
      <c r="O897" s="38"/>
      <c r="P897" s="38"/>
      <c r="Q897" s="38"/>
      <c r="R897" s="38"/>
      <c r="S897" s="38"/>
      <c r="T897" s="38"/>
      <c r="U897" s="38"/>
      <c r="V897" s="38"/>
      <c r="W897" s="38"/>
      <c r="X897" s="53"/>
      <c r="Y897" s="42"/>
      <c r="Z897" s="42"/>
      <c r="AA897" s="42"/>
    </row>
    <row r="898" ht="13.75" customHeight="1">
      <c r="A898" s="14" t="s">
        <v>140</v>
      </c>
      <c r="B898" s="56"/>
      <c r="C898" s="57"/>
      <c r="D898" s="57"/>
      <c r="E898" s="57"/>
      <c r="F898" s="57"/>
      <c r="G898" s="57"/>
      <c r="H898" s="58"/>
      <c r="I898" s="54"/>
      <c r="J898" s="59"/>
      <c r="K898" s="38"/>
      <c r="L898" s="38"/>
      <c r="M898" s="38"/>
      <c r="N898" s="38"/>
      <c r="O898" s="38"/>
      <c r="P898" s="38"/>
      <c r="Q898" s="38"/>
      <c r="R898" s="38"/>
      <c r="S898" s="38"/>
      <c r="T898" s="38"/>
      <c r="U898" s="38"/>
      <c r="V898" s="38"/>
      <c r="W898" s="38"/>
      <c r="X898" s="53"/>
      <c r="Y898" s="42"/>
      <c r="Z898" s="42"/>
      <c r="AA898" s="42"/>
    </row>
    <row r="899" ht="13.75" customHeight="1">
      <c r="A899" s="14" t="s">
        <v>140</v>
      </c>
      <c r="B899" s="56"/>
      <c r="C899" s="57"/>
      <c r="D899" s="57"/>
      <c r="E899" s="57"/>
      <c r="F899" s="57"/>
      <c r="G899" s="57"/>
      <c r="H899" s="58"/>
      <c r="I899" s="54"/>
      <c r="J899" s="59"/>
      <c r="K899" s="38"/>
      <c r="L899" s="38"/>
      <c r="M899" s="38"/>
      <c r="N899" s="38"/>
      <c r="O899" s="38"/>
      <c r="P899" s="38"/>
      <c r="Q899" s="38"/>
      <c r="R899" s="38"/>
      <c r="S899" s="38"/>
      <c r="T899" s="38"/>
      <c r="U899" s="38"/>
      <c r="V899" s="38"/>
      <c r="W899" s="38"/>
      <c r="X899" s="53"/>
      <c r="Y899" s="42"/>
      <c r="Z899" s="42"/>
      <c r="AA899" s="42"/>
    </row>
    <row r="900" ht="13.75" customHeight="1">
      <c r="A900" s="14" t="s">
        <v>140</v>
      </c>
      <c r="B900" s="56"/>
      <c r="C900" s="57"/>
      <c r="D900" s="57"/>
      <c r="E900" s="57"/>
      <c r="F900" s="57"/>
      <c r="G900" s="57"/>
      <c r="H900" s="58"/>
      <c r="I900" s="54"/>
      <c r="J900" s="59"/>
      <c r="K900" s="38"/>
      <c r="L900" s="38"/>
      <c r="M900" s="38"/>
      <c r="N900" s="38"/>
      <c r="O900" s="38"/>
      <c r="P900" s="38"/>
      <c r="Q900" s="38"/>
      <c r="R900" s="38"/>
      <c r="S900" s="38"/>
      <c r="T900" s="38"/>
      <c r="U900" s="38"/>
      <c r="V900" s="38"/>
      <c r="W900" s="38"/>
      <c r="X900" s="53"/>
      <c r="Y900" s="42"/>
      <c r="Z900" s="42"/>
      <c r="AA900" s="42"/>
    </row>
    <row r="901" ht="13.75" customHeight="1">
      <c r="A901" s="14" t="s">
        <v>140</v>
      </c>
      <c r="B901" s="56"/>
      <c r="C901" s="57"/>
      <c r="D901" s="57"/>
      <c r="E901" s="57"/>
      <c r="F901" s="57"/>
      <c r="G901" s="57"/>
      <c r="H901" s="58"/>
      <c r="I901" s="54"/>
      <c r="J901" s="59"/>
      <c r="K901" s="38"/>
      <c r="L901" s="38"/>
      <c r="M901" s="38"/>
      <c r="N901" s="38"/>
      <c r="O901" s="38"/>
      <c r="P901" s="38"/>
      <c r="Q901" s="38"/>
      <c r="R901" s="38"/>
      <c r="S901" s="38"/>
      <c r="T901" s="38"/>
      <c r="U901" s="38"/>
      <c r="V901" s="38"/>
      <c r="W901" s="38"/>
      <c r="X901" s="53"/>
      <c r="Y901" s="42"/>
      <c r="Z901" s="42"/>
      <c r="AA901" s="42"/>
    </row>
    <row r="902" ht="13.75" customHeight="1">
      <c r="A902" s="14" t="s">
        <v>140</v>
      </c>
      <c r="B902" s="56"/>
      <c r="C902" s="57"/>
      <c r="D902" s="57"/>
      <c r="E902" s="57"/>
      <c r="F902" s="57"/>
      <c r="G902" s="57"/>
      <c r="H902" s="58"/>
      <c r="I902" s="54"/>
      <c r="J902" s="59"/>
      <c r="K902" s="38"/>
      <c r="L902" s="38"/>
      <c r="M902" s="38"/>
      <c r="N902" s="38"/>
      <c r="O902" s="38"/>
      <c r="P902" s="38"/>
      <c r="Q902" s="38"/>
      <c r="R902" s="38"/>
      <c r="S902" s="38"/>
      <c r="T902" s="38"/>
      <c r="U902" s="38"/>
      <c r="V902" s="38"/>
      <c r="W902" s="38"/>
      <c r="X902" s="53"/>
      <c r="Y902" s="42"/>
      <c r="Z902" s="42"/>
      <c r="AA902" s="42"/>
    </row>
    <row r="903" ht="13.75" customHeight="1">
      <c r="A903" s="14" t="s">
        <v>140</v>
      </c>
      <c r="B903" s="56"/>
      <c r="C903" s="57"/>
      <c r="D903" s="57"/>
      <c r="E903" s="57"/>
      <c r="F903" s="57"/>
      <c r="G903" s="57"/>
      <c r="H903" s="58"/>
      <c r="I903" s="54"/>
      <c r="J903" s="59"/>
      <c r="K903" s="38"/>
      <c r="L903" s="38"/>
      <c r="M903" s="38"/>
      <c r="N903" s="38"/>
      <c r="O903" s="38"/>
      <c r="P903" s="38"/>
      <c r="Q903" s="38"/>
      <c r="R903" s="38"/>
      <c r="S903" s="38"/>
      <c r="T903" s="38"/>
      <c r="U903" s="38"/>
      <c r="V903" s="38"/>
      <c r="W903" s="38"/>
      <c r="X903" s="53"/>
      <c r="Y903" s="42"/>
      <c r="Z903" s="42"/>
      <c r="AA903" s="42"/>
    </row>
    <row r="904" ht="13.75" customHeight="1">
      <c r="A904" s="14" t="s">
        <v>140</v>
      </c>
      <c r="B904" s="56"/>
      <c r="C904" s="57"/>
      <c r="D904" s="57"/>
      <c r="E904" s="57"/>
      <c r="F904" s="57"/>
      <c r="G904" s="57"/>
      <c r="H904" s="58"/>
      <c r="I904" s="54"/>
      <c r="J904" s="59"/>
      <c r="K904" s="38"/>
      <c r="L904" s="38"/>
      <c r="M904" s="38"/>
      <c r="N904" s="38"/>
      <c r="O904" s="38"/>
      <c r="P904" s="38"/>
      <c r="Q904" s="38"/>
      <c r="R904" s="38"/>
      <c r="S904" s="38"/>
      <c r="T904" s="38"/>
      <c r="U904" s="38"/>
      <c r="V904" s="38"/>
      <c r="W904" s="38"/>
      <c r="X904" s="53"/>
      <c r="Y904" s="42"/>
      <c r="Z904" s="42"/>
      <c r="AA904" s="42"/>
    </row>
    <row r="905" ht="13.75" customHeight="1">
      <c r="A905" s="14" t="s">
        <v>140</v>
      </c>
      <c r="B905" s="56"/>
      <c r="C905" s="57"/>
      <c r="D905" s="57"/>
      <c r="E905" s="57"/>
      <c r="F905" s="57"/>
      <c r="G905" s="57"/>
      <c r="H905" s="58"/>
      <c r="I905" s="54"/>
      <c r="J905" s="59"/>
      <c r="K905" s="38"/>
      <c r="L905" s="38"/>
      <c r="M905" s="38"/>
      <c r="N905" s="38"/>
      <c r="O905" s="38"/>
      <c r="P905" s="38"/>
      <c r="Q905" s="38"/>
      <c r="R905" s="38"/>
      <c r="S905" s="38"/>
      <c r="T905" s="38"/>
      <c r="U905" s="38"/>
      <c r="V905" s="38"/>
      <c r="W905" s="38"/>
      <c r="X905" s="53"/>
      <c r="Y905" s="42"/>
      <c r="Z905" s="42"/>
      <c r="AA905" s="42"/>
    </row>
    <row r="906" ht="13.75" customHeight="1">
      <c r="A906" s="14" t="s">
        <v>140</v>
      </c>
      <c r="B906" s="56"/>
      <c r="C906" s="57"/>
      <c r="D906" s="57"/>
      <c r="E906" s="57"/>
      <c r="F906" s="57"/>
      <c r="G906" s="57"/>
      <c r="H906" s="58"/>
      <c r="I906" s="54"/>
      <c r="J906" s="59"/>
      <c r="K906" s="38"/>
      <c r="L906" s="38"/>
      <c r="M906" s="38"/>
      <c r="N906" s="38"/>
      <c r="O906" s="38"/>
      <c r="P906" s="38"/>
      <c r="Q906" s="38"/>
      <c r="R906" s="38"/>
      <c r="S906" s="38"/>
      <c r="T906" s="38"/>
      <c r="U906" s="38"/>
      <c r="V906" s="38"/>
      <c r="W906" s="38"/>
      <c r="X906" s="53"/>
      <c r="Y906" s="42"/>
      <c r="Z906" s="42"/>
      <c r="AA906" s="42"/>
    </row>
    <row r="907" ht="13.75" customHeight="1">
      <c r="A907" s="14" t="s">
        <v>140</v>
      </c>
      <c r="B907" s="56"/>
      <c r="C907" s="57"/>
      <c r="D907" s="57"/>
      <c r="E907" s="57"/>
      <c r="F907" s="57"/>
      <c r="G907" s="57"/>
      <c r="H907" s="58"/>
      <c r="I907" s="54"/>
      <c r="J907" s="59"/>
      <c r="K907" s="38"/>
      <c r="L907" s="38"/>
      <c r="M907" s="38"/>
      <c r="N907" s="38"/>
      <c r="O907" s="38"/>
      <c r="P907" s="38"/>
      <c r="Q907" s="38"/>
      <c r="R907" s="38"/>
      <c r="S907" s="38"/>
      <c r="T907" s="38"/>
      <c r="U907" s="38"/>
      <c r="V907" s="38"/>
      <c r="W907" s="38"/>
      <c r="X907" s="53"/>
      <c r="Y907" s="42"/>
      <c r="Z907" s="42"/>
      <c r="AA907" s="42"/>
    </row>
    <row r="908" ht="13.75" customHeight="1">
      <c r="A908" s="14" t="s">
        <v>140</v>
      </c>
      <c r="B908" s="56"/>
      <c r="C908" s="57"/>
      <c r="D908" s="57"/>
      <c r="E908" s="57"/>
      <c r="F908" s="57"/>
      <c r="G908" s="57"/>
      <c r="H908" s="58"/>
      <c r="I908" s="54"/>
      <c r="J908" s="59"/>
      <c r="K908" s="38"/>
      <c r="L908" s="38"/>
      <c r="M908" s="38"/>
      <c r="N908" s="38"/>
      <c r="O908" s="38"/>
      <c r="P908" s="38"/>
      <c r="Q908" s="38"/>
      <c r="R908" s="38"/>
      <c r="S908" s="38"/>
      <c r="T908" s="38"/>
      <c r="U908" s="38"/>
      <c r="V908" s="38"/>
      <c r="W908" s="38"/>
      <c r="X908" s="53"/>
      <c r="Y908" s="42"/>
      <c r="Z908" s="42"/>
      <c r="AA908" s="42"/>
    </row>
    <row r="909" ht="13.75" customHeight="1">
      <c r="A909" s="14" t="s">
        <v>140</v>
      </c>
      <c r="B909" s="56"/>
      <c r="C909" s="57"/>
      <c r="D909" s="57"/>
      <c r="E909" s="57"/>
      <c r="F909" s="57"/>
      <c r="G909" s="57"/>
      <c r="H909" s="58"/>
      <c r="I909" s="54"/>
      <c r="J909" s="59"/>
      <c r="K909" s="38"/>
      <c r="L909" s="38"/>
      <c r="M909" s="38"/>
      <c r="N909" s="38"/>
      <c r="O909" s="38"/>
      <c r="P909" s="38"/>
      <c r="Q909" s="38"/>
      <c r="R909" s="38"/>
      <c r="S909" s="38"/>
      <c r="T909" s="38"/>
      <c r="U909" s="38"/>
      <c r="V909" s="38"/>
      <c r="W909" s="38"/>
      <c r="X909" s="53"/>
      <c r="Y909" s="42"/>
      <c r="Z909" s="42"/>
      <c r="AA909" s="42"/>
    </row>
    <row r="910" ht="13.75" customHeight="1">
      <c r="A910" s="14" t="s">
        <v>140</v>
      </c>
      <c r="B910" s="56"/>
      <c r="C910" s="57"/>
      <c r="D910" s="57"/>
      <c r="E910" s="57"/>
      <c r="F910" s="57"/>
      <c r="G910" s="57"/>
      <c r="H910" s="58"/>
      <c r="I910" s="54"/>
      <c r="J910" s="59"/>
      <c r="K910" s="38"/>
      <c r="L910" s="38"/>
      <c r="M910" s="38"/>
      <c r="N910" s="38"/>
      <c r="O910" s="38"/>
      <c r="P910" s="38"/>
      <c r="Q910" s="38"/>
      <c r="R910" s="38"/>
      <c r="S910" s="38"/>
      <c r="T910" s="38"/>
      <c r="U910" s="38"/>
      <c r="V910" s="38"/>
      <c r="W910" s="38"/>
      <c r="X910" s="53"/>
      <c r="Y910" s="42"/>
      <c r="Z910" s="42"/>
      <c r="AA910" s="42"/>
    </row>
    <row r="911" ht="13.75" customHeight="1">
      <c r="A911" s="14" t="s">
        <v>140</v>
      </c>
      <c r="B911" s="56"/>
      <c r="C911" s="57"/>
      <c r="D911" s="57"/>
      <c r="E911" s="57"/>
      <c r="F911" s="57"/>
      <c r="G911" s="57"/>
      <c r="H911" s="58"/>
      <c r="I911" s="54"/>
      <c r="J911" s="59"/>
      <c r="K911" s="38"/>
      <c r="L911" s="38"/>
      <c r="M911" s="38"/>
      <c r="N911" s="38"/>
      <c r="O911" s="38"/>
      <c r="P911" s="38"/>
      <c r="Q911" s="38"/>
      <c r="R911" s="38"/>
      <c r="S911" s="38"/>
      <c r="T911" s="38"/>
      <c r="U911" s="38"/>
      <c r="V911" s="38"/>
      <c r="W911" s="38"/>
      <c r="X911" s="53"/>
      <c r="Y911" s="42"/>
      <c r="Z911" s="42"/>
      <c r="AA911" s="42"/>
    </row>
    <row r="912" ht="13.75" customHeight="1">
      <c r="A912" s="14" t="s">
        <v>140</v>
      </c>
      <c r="B912" s="56"/>
      <c r="C912" s="57"/>
      <c r="D912" s="57"/>
      <c r="E912" s="57"/>
      <c r="F912" s="57"/>
      <c r="G912" s="57"/>
      <c r="H912" s="58"/>
      <c r="I912" s="54"/>
      <c r="J912" s="59"/>
      <c r="K912" s="38"/>
      <c r="L912" s="38"/>
      <c r="M912" s="38"/>
      <c r="N912" s="38"/>
      <c r="O912" s="38"/>
      <c r="P912" s="38"/>
      <c r="Q912" s="38"/>
      <c r="R912" s="38"/>
      <c r="S912" s="38"/>
      <c r="T912" s="38"/>
      <c r="U912" s="38"/>
      <c r="V912" s="38"/>
      <c r="W912" s="38"/>
      <c r="X912" s="53"/>
      <c r="Y912" s="42"/>
      <c r="Z912" s="42"/>
      <c r="AA912" s="42"/>
    </row>
    <row r="913" ht="13.75" customHeight="1">
      <c r="A913" s="14" t="s">
        <v>140</v>
      </c>
      <c r="B913" s="56"/>
      <c r="C913" s="57"/>
      <c r="D913" s="57"/>
      <c r="E913" s="57"/>
      <c r="F913" s="57"/>
      <c r="G913" s="57"/>
      <c r="H913" s="58"/>
      <c r="I913" s="54"/>
      <c r="J913" s="59"/>
      <c r="K913" s="38"/>
      <c r="L913" s="38"/>
      <c r="M913" s="38"/>
      <c r="N913" s="38"/>
      <c r="O913" s="38"/>
      <c r="P913" s="38"/>
      <c r="Q913" s="38"/>
      <c r="R913" s="38"/>
      <c r="S913" s="38"/>
      <c r="T913" s="38"/>
      <c r="U913" s="38"/>
      <c r="V913" s="38"/>
      <c r="W913" s="38"/>
      <c r="X913" s="53"/>
      <c r="Y913" s="42"/>
      <c r="Z913" s="42"/>
      <c r="AA913" s="42"/>
    </row>
    <row r="914" ht="13.75" customHeight="1">
      <c r="A914" s="14" t="s">
        <v>140</v>
      </c>
      <c r="B914" s="56"/>
      <c r="C914" s="57"/>
      <c r="D914" s="57"/>
      <c r="E914" s="57"/>
      <c r="F914" s="57"/>
      <c r="G914" s="57"/>
      <c r="H914" s="58"/>
      <c r="I914" s="54"/>
      <c r="J914" s="59"/>
      <c r="K914" s="38"/>
      <c r="L914" s="38"/>
      <c r="M914" s="38"/>
      <c r="N914" s="38"/>
      <c r="O914" s="38"/>
      <c r="P914" s="38"/>
      <c r="Q914" s="38"/>
      <c r="R914" s="38"/>
      <c r="S914" s="38"/>
      <c r="T914" s="38"/>
      <c r="U914" s="38"/>
      <c r="V914" s="38"/>
      <c r="W914" s="38"/>
      <c r="X914" s="53"/>
      <c r="Y914" s="42"/>
      <c r="Z914" s="42"/>
      <c r="AA914" s="42"/>
    </row>
    <row r="915" ht="13.75" customHeight="1">
      <c r="A915" s="14" t="s">
        <v>140</v>
      </c>
      <c r="B915" s="56"/>
      <c r="C915" s="57"/>
      <c r="D915" s="57"/>
      <c r="E915" s="57"/>
      <c r="F915" s="57"/>
      <c r="G915" s="57"/>
      <c r="H915" s="58"/>
      <c r="I915" s="54"/>
      <c r="J915" s="59"/>
      <c r="K915" s="38"/>
      <c r="L915" s="38"/>
      <c r="M915" s="38"/>
      <c r="N915" s="38"/>
      <c r="O915" s="38"/>
      <c r="P915" s="38"/>
      <c r="Q915" s="38"/>
      <c r="R915" s="38"/>
      <c r="S915" s="38"/>
      <c r="T915" s="38"/>
      <c r="U915" s="38"/>
      <c r="V915" s="38"/>
      <c r="W915" s="38"/>
      <c r="X915" s="53"/>
      <c r="Y915" s="42"/>
      <c r="Z915" s="42"/>
      <c r="AA915" s="42"/>
    </row>
    <row r="916" ht="13.75" customHeight="1">
      <c r="A916" s="14" t="s">
        <v>140</v>
      </c>
      <c r="B916" s="56"/>
      <c r="C916" s="57"/>
      <c r="D916" s="57"/>
      <c r="E916" s="57"/>
      <c r="F916" s="57"/>
      <c r="G916" s="57"/>
      <c r="H916" s="58"/>
      <c r="I916" s="54"/>
      <c r="J916" s="59"/>
      <c r="K916" s="38"/>
      <c r="L916" s="38"/>
      <c r="M916" s="38"/>
      <c r="N916" s="38"/>
      <c r="O916" s="38"/>
      <c r="P916" s="38"/>
      <c r="Q916" s="38"/>
      <c r="R916" s="38"/>
      <c r="S916" s="38"/>
      <c r="T916" s="38"/>
      <c r="U916" s="38"/>
      <c r="V916" s="38"/>
      <c r="W916" s="38"/>
      <c r="X916" s="53"/>
      <c r="Y916" s="42"/>
      <c r="Z916" s="42"/>
      <c r="AA916" s="42"/>
    </row>
    <row r="917" ht="13.75" customHeight="1">
      <c r="A917" s="14" t="s">
        <v>140</v>
      </c>
      <c r="B917" s="56"/>
      <c r="C917" s="57"/>
      <c r="D917" s="57"/>
      <c r="E917" s="57"/>
      <c r="F917" s="57"/>
      <c r="G917" s="57"/>
      <c r="H917" s="58"/>
      <c r="I917" s="54"/>
      <c r="J917" s="59"/>
      <c r="K917" s="38"/>
      <c r="L917" s="38"/>
      <c r="M917" s="38"/>
      <c r="N917" s="38"/>
      <c r="O917" s="38"/>
      <c r="P917" s="38"/>
      <c r="Q917" s="38"/>
      <c r="R917" s="38"/>
      <c r="S917" s="38"/>
      <c r="T917" s="38"/>
      <c r="U917" s="38"/>
      <c r="V917" s="38"/>
      <c r="W917" s="38"/>
      <c r="X917" s="53"/>
      <c r="Y917" s="42"/>
      <c r="Z917" s="42"/>
      <c r="AA917" s="42"/>
    </row>
    <row r="918" ht="13.75" customHeight="1">
      <c r="A918" s="14" t="s">
        <v>140</v>
      </c>
      <c r="B918" s="56"/>
      <c r="C918" s="57"/>
      <c r="D918" s="57"/>
      <c r="E918" s="57"/>
      <c r="F918" s="57"/>
      <c r="G918" s="57"/>
      <c r="H918" s="58"/>
      <c r="I918" s="54"/>
      <c r="J918" s="59"/>
      <c r="K918" s="38"/>
      <c r="L918" s="38"/>
      <c r="M918" s="38"/>
      <c r="N918" s="38"/>
      <c r="O918" s="38"/>
      <c r="P918" s="38"/>
      <c r="Q918" s="38"/>
      <c r="R918" s="38"/>
      <c r="S918" s="38"/>
      <c r="T918" s="38"/>
      <c r="U918" s="38"/>
      <c r="V918" s="38"/>
      <c r="W918" s="38"/>
      <c r="X918" s="53"/>
      <c r="Y918" s="42"/>
      <c r="Z918" s="42"/>
      <c r="AA918" s="42"/>
    </row>
    <row r="919" ht="13.75" customHeight="1">
      <c r="A919" s="14" t="s">
        <v>140</v>
      </c>
      <c r="B919" s="56"/>
      <c r="C919" s="57"/>
      <c r="D919" s="57"/>
      <c r="E919" s="57"/>
      <c r="F919" s="57"/>
      <c r="G919" s="57"/>
      <c r="H919" s="58"/>
      <c r="I919" s="54"/>
      <c r="J919" s="59"/>
      <c r="K919" s="38"/>
      <c r="L919" s="38"/>
      <c r="M919" s="38"/>
      <c r="N919" s="38"/>
      <c r="O919" s="38"/>
      <c r="P919" s="38"/>
      <c r="Q919" s="38"/>
      <c r="R919" s="38"/>
      <c r="S919" s="38"/>
      <c r="T919" s="38"/>
      <c r="U919" s="38"/>
      <c r="V919" s="38"/>
      <c r="W919" s="38"/>
      <c r="X919" s="53"/>
      <c r="Y919" s="42"/>
      <c r="Z919" s="42"/>
      <c r="AA919" s="42"/>
    </row>
    <row r="920" ht="13.75" customHeight="1">
      <c r="A920" s="14" t="s">
        <v>140</v>
      </c>
      <c r="B920" s="56"/>
      <c r="C920" s="57"/>
      <c r="D920" s="57"/>
      <c r="E920" s="57"/>
      <c r="F920" s="57"/>
      <c r="G920" s="57"/>
      <c r="H920" s="58"/>
      <c r="I920" s="54"/>
      <c r="J920" s="59"/>
      <c r="K920" s="38"/>
      <c r="L920" s="38"/>
      <c r="M920" s="38"/>
      <c r="N920" s="38"/>
      <c r="O920" s="38"/>
      <c r="P920" s="38"/>
      <c r="Q920" s="38"/>
      <c r="R920" s="38"/>
      <c r="S920" s="38"/>
      <c r="T920" s="38"/>
      <c r="U920" s="38"/>
      <c r="V920" s="38"/>
      <c r="W920" s="38"/>
      <c r="X920" s="53"/>
      <c r="Y920" s="42"/>
      <c r="Z920" s="42"/>
      <c r="AA920" s="42"/>
    </row>
    <row r="921" ht="13.75" customHeight="1">
      <c r="A921" s="14" t="s">
        <v>140</v>
      </c>
      <c r="B921" s="56"/>
      <c r="C921" s="57"/>
      <c r="D921" s="57"/>
      <c r="E921" s="57"/>
      <c r="F921" s="57"/>
      <c r="G921" s="57"/>
      <c r="H921" s="58"/>
      <c r="I921" s="54"/>
      <c r="J921" s="59"/>
      <c r="K921" s="38"/>
      <c r="L921" s="38"/>
      <c r="M921" s="38"/>
      <c r="N921" s="38"/>
      <c r="O921" s="38"/>
      <c r="P921" s="38"/>
      <c r="Q921" s="38"/>
      <c r="R921" s="38"/>
      <c r="S921" s="38"/>
      <c r="T921" s="38"/>
      <c r="U921" s="38"/>
      <c r="V921" s="38"/>
      <c r="W921" s="38"/>
      <c r="X921" s="53"/>
      <c r="Y921" s="42"/>
      <c r="Z921" s="42"/>
      <c r="AA921" s="42"/>
    </row>
    <row r="922" ht="13.75" customHeight="1">
      <c r="A922" s="14" t="s">
        <v>140</v>
      </c>
      <c r="B922" s="56"/>
      <c r="C922" s="57"/>
      <c r="D922" s="57"/>
      <c r="E922" s="57"/>
      <c r="F922" s="57"/>
      <c r="G922" s="57"/>
      <c r="H922" s="58"/>
      <c r="I922" s="54"/>
      <c r="J922" s="59"/>
      <c r="K922" s="38"/>
      <c r="L922" s="38"/>
      <c r="M922" s="38"/>
      <c r="N922" s="38"/>
      <c r="O922" s="38"/>
      <c r="P922" s="38"/>
      <c r="Q922" s="38"/>
      <c r="R922" s="38"/>
      <c r="S922" s="38"/>
      <c r="T922" s="38"/>
      <c r="U922" s="38"/>
      <c r="V922" s="38"/>
      <c r="W922" s="38"/>
      <c r="X922" s="53"/>
      <c r="Y922" s="42"/>
      <c r="Z922" s="42"/>
      <c r="AA922" s="42"/>
    </row>
    <row r="923" ht="13.75" customHeight="1">
      <c r="A923" s="14" t="s">
        <v>140</v>
      </c>
      <c r="B923" s="56"/>
      <c r="C923" s="57"/>
      <c r="D923" s="57"/>
      <c r="E923" s="57"/>
      <c r="F923" s="57"/>
      <c r="G923" s="57"/>
      <c r="H923" s="58"/>
      <c r="I923" s="54"/>
      <c r="J923" s="59"/>
      <c r="K923" s="38"/>
      <c r="L923" s="38"/>
      <c r="M923" s="38"/>
      <c r="N923" s="38"/>
      <c r="O923" s="38"/>
      <c r="P923" s="38"/>
      <c r="Q923" s="38"/>
      <c r="R923" s="38"/>
      <c r="S923" s="38"/>
      <c r="T923" s="38"/>
      <c r="U923" s="38"/>
      <c r="V923" s="38"/>
      <c r="W923" s="38"/>
      <c r="X923" s="53"/>
      <c r="Y923" s="42"/>
      <c r="Z923" s="42"/>
      <c r="AA923" s="42"/>
    </row>
    <row r="924" ht="13.75" customHeight="1">
      <c r="A924" s="14" t="s">
        <v>140</v>
      </c>
      <c r="B924" s="56"/>
      <c r="C924" s="57"/>
      <c r="D924" s="57"/>
      <c r="E924" s="57"/>
      <c r="F924" s="57"/>
      <c r="G924" s="57"/>
      <c r="H924" s="58"/>
      <c r="I924" s="54"/>
      <c r="J924" s="59"/>
      <c r="K924" s="38"/>
      <c r="L924" s="38"/>
      <c r="M924" s="38"/>
      <c r="N924" s="38"/>
      <c r="O924" s="38"/>
      <c r="P924" s="38"/>
      <c r="Q924" s="38"/>
      <c r="R924" s="38"/>
      <c r="S924" s="38"/>
      <c r="T924" s="38"/>
      <c r="U924" s="38"/>
      <c r="V924" s="38"/>
      <c r="W924" s="38"/>
      <c r="X924" s="53"/>
      <c r="Y924" s="42"/>
      <c r="Z924" s="42"/>
      <c r="AA924" s="42"/>
    </row>
    <row r="925" ht="13.75" customHeight="1">
      <c r="A925" s="14" t="s">
        <v>140</v>
      </c>
      <c r="B925" s="56"/>
      <c r="C925" s="57"/>
      <c r="D925" s="57"/>
      <c r="E925" s="57"/>
      <c r="F925" s="57"/>
      <c r="G925" s="57"/>
      <c r="H925" s="58"/>
      <c r="I925" s="54"/>
      <c r="J925" s="59"/>
      <c r="K925" s="38"/>
      <c r="L925" s="38"/>
      <c r="M925" s="38"/>
      <c r="N925" s="38"/>
      <c r="O925" s="38"/>
      <c r="P925" s="38"/>
      <c r="Q925" s="38"/>
      <c r="R925" s="38"/>
      <c r="S925" s="38"/>
      <c r="T925" s="38"/>
      <c r="U925" s="38"/>
      <c r="V925" s="38"/>
      <c r="W925" s="38"/>
      <c r="X925" s="53"/>
      <c r="Y925" s="42"/>
      <c r="Z925" s="42"/>
      <c r="AA925" s="42"/>
    </row>
    <row r="926" ht="13.75" customHeight="1">
      <c r="A926" s="14" t="s">
        <v>140</v>
      </c>
      <c r="B926" s="56"/>
      <c r="C926" s="57"/>
      <c r="D926" s="57"/>
      <c r="E926" s="57"/>
      <c r="F926" s="57"/>
      <c r="G926" s="57"/>
      <c r="H926" s="58"/>
      <c r="I926" s="54"/>
      <c r="J926" s="59"/>
      <c r="K926" s="38"/>
      <c r="L926" s="38"/>
      <c r="M926" s="38"/>
      <c r="N926" s="38"/>
      <c r="O926" s="38"/>
      <c r="P926" s="38"/>
      <c r="Q926" s="38"/>
      <c r="R926" s="38"/>
      <c r="S926" s="38"/>
      <c r="T926" s="38"/>
      <c r="U926" s="38"/>
      <c r="V926" s="38"/>
      <c r="W926" s="38"/>
      <c r="X926" s="53"/>
      <c r="Y926" s="42"/>
      <c r="Z926" s="42"/>
      <c r="AA926" s="42"/>
    </row>
    <row r="927" ht="13.75" customHeight="1">
      <c r="A927" s="14" t="s">
        <v>140</v>
      </c>
      <c r="B927" s="56"/>
      <c r="C927" s="57"/>
      <c r="D927" s="57"/>
      <c r="E927" s="57"/>
      <c r="F927" s="57"/>
      <c r="G927" s="57"/>
      <c r="H927" s="58"/>
      <c r="I927" s="54"/>
      <c r="J927" s="59"/>
      <c r="K927" s="38"/>
      <c r="L927" s="38"/>
      <c r="M927" s="38"/>
      <c r="N927" s="38"/>
      <c r="O927" s="38"/>
      <c r="P927" s="38"/>
      <c r="Q927" s="38"/>
      <c r="R927" s="38"/>
      <c r="S927" s="38"/>
      <c r="T927" s="38"/>
      <c r="U927" s="38"/>
      <c r="V927" s="38"/>
      <c r="W927" s="38"/>
      <c r="X927" s="53"/>
      <c r="Y927" s="42"/>
      <c r="Z927" s="42"/>
      <c r="AA927" s="42"/>
    </row>
    <row r="928" ht="13.75" customHeight="1">
      <c r="A928" s="14" t="s">
        <v>140</v>
      </c>
      <c r="B928" s="56"/>
      <c r="C928" s="57"/>
      <c r="D928" s="57"/>
      <c r="E928" s="57"/>
      <c r="F928" s="57"/>
      <c r="G928" s="57"/>
      <c r="H928" s="58"/>
      <c r="I928" s="54"/>
      <c r="J928" s="59"/>
      <c r="K928" s="38"/>
      <c r="L928" s="38"/>
      <c r="M928" s="38"/>
      <c r="N928" s="38"/>
      <c r="O928" s="38"/>
      <c r="P928" s="38"/>
      <c r="Q928" s="38"/>
      <c r="R928" s="38"/>
      <c r="S928" s="38"/>
      <c r="T928" s="38"/>
      <c r="U928" s="38"/>
      <c r="V928" s="38"/>
      <c r="W928" s="38"/>
      <c r="X928" s="53"/>
      <c r="Y928" s="42"/>
      <c r="Z928" s="42"/>
      <c r="AA928" s="42"/>
    </row>
    <row r="929" ht="13.75" customHeight="1">
      <c r="A929" s="14" t="s">
        <v>140</v>
      </c>
      <c r="B929" s="56"/>
      <c r="C929" s="57"/>
      <c r="D929" s="57"/>
      <c r="E929" s="57"/>
      <c r="F929" s="57"/>
      <c r="G929" s="57"/>
      <c r="H929" s="58"/>
      <c r="I929" s="54"/>
      <c r="J929" s="59"/>
      <c r="K929" s="38"/>
      <c r="L929" s="38"/>
      <c r="M929" s="38"/>
      <c r="N929" s="38"/>
      <c r="O929" s="38"/>
      <c r="P929" s="38"/>
      <c r="Q929" s="38"/>
      <c r="R929" s="38"/>
      <c r="S929" s="38"/>
      <c r="T929" s="38"/>
      <c r="U929" s="38"/>
      <c r="V929" s="38"/>
      <c r="W929" s="38"/>
      <c r="X929" s="53"/>
      <c r="Y929" s="42"/>
      <c r="Z929" s="42"/>
      <c r="AA929" s="42"/>
    </row>
    <row r="930" ht="13.75" customHeight="1">
      <c r="A930" s="14" t="s">
        <v>140</v>
      </c>
      <c r="B930" s="56"/>
      <c r="C930" s="57"/>
      <c r="D930" s="57"/>
      <c r="E930" s="57"/>
      <c r="F930" s="57"/>
      <c r="G930" s="57"/>
      <c r="H930" s="58"/>
      <c r="I930" s="54"/>
      <c r="J930" s="59"/>
      <c r="K930" s="38"/>
      <c r="L930" s="38"/>
      <c r="M930" s="38"/>
      <c r="N930" s="38"/>
      <c r="O930" s="38"/>
      <c r="P930" s="38"/>
      <c r="Q930" s="38"/>
      <c r="R930" s="38"/>
      <c r="S930" s="38"/>
      <c r="T930" s="38"/>
      <c r="U930" s="38"/>
      <c r="V930" s="38"/>
      <c r="W930" s="38"/>
      <c r="X930" s="53"/>
      <c r="Y930" s="42"/>
      <c r="Z930" s="42"/>
      <c r="AA930" s="42"/>
    </row>
    <row r="931" ht="13.75" customHeight="1">
      <c r="A931" s="14" t="s">
        <v>140</v>
      </c>
      <c r="B931" s="56"/>
      <c r="C931" s="57"/>
      <c r="D931" s="57"/>
      <c r="E931" s="57"/>
      <c r="F931" s="57"/>
      <c r="G931" s="57"/>
      <c r="H931" s="58"/>
      <c r="I931" s="54"/>
      <c r="J931" s="59"/>
      <c r="K931" s="38"/>
      <c r="L931" s="38"/>
      <c r="M931" s="38"/>
      <c r="N931" s="38"/>
      <c r="O931" s="38"/>
      <c r="P931" s="38"/>
      <c r="Q931" s="38"/>
      <c r="R931" s="38"/>
      <c r="S931" s="38"/>
      <c r="T931" s="38"/>
      <c r="U931" s="38"/>
      <c r="V931" s="38"/>
      <c r="W931" s="38"/>
      <c r="X931" s="53"/>
      <c r="Y931" s="42"/>
      <c r="Z931" s="42"/>
      <c r="AA931" s="42"/>
    </row>
    <row r="932" ht="13.75" customHeight="1">
      <c r="A932" s="14" t="s">
        <v>140</v>
      </c>
      <c r="B932" s="56"/>
      <c r="C932" s="57"/>
      <c r="D932" s="57"/>
      <c r="E932" s="57"/>
      <c r="F932" s="57"/>
      <c r="G932" s="57"/>
      <c r="H932" s="58"/>
      <c r="I932" s="54"/>
      <c r="J932" s="59"/>
      <c r="K932" s="38"/>
      <c r="L932" s="38"/>
      <c r="M932" s="38"/>
      <c r="N932" s="38"/>
      <c r="O932" s="38"/>
      <c r="P932" s="38"/>
      <c r="Q932" s="38"/>
      <c r="R932" s="38"/>
      <c r="S932" s="38"/>
      <c r="T932" s="38"/>
      <c r="U932" s="38"/>
      <c r="V932" s="38"/>
      <c r="W932" s="38"/>
      <c r="X932" s="53"/>
      <c r="Y932" s="42"/>
      <c r="Z932" s="42"/>
      <c r="AA932" s="42"/>
    </row>
    <row r="933" ht="13.75" customHeight="1">
      <c r="A933" s="14" t="s">
        <v>140</v>
      </c>
      <c r="B933" s="56"/>
      <c r="C933" s="57"/>
      <c r="D933" s="57"/>
      <c r="E933" s="57"/>
      <c r="F933" s="57"/>
      <c r="G933" s="57"/>
      <c r="H933" s="58"/>
      <c r="I933" s="54"/>
      <c r="J933" s="59"/>
      <c r="K933" s="38"/>
      <c r="L933" s="38"/>
      <c r="M933" s="38"/>
      <c r="N933" s="38"/>
      <c r="O933" s="38"/>
      <c r="P933" s="38"/>
      <c r="Q933" s="38"/>
      <c r="R933" s="38"/>
      <c r="S933" s="38"/>
      <c r="T933" s="38"/>
      <c r="U933" s="38"/>
      <c r="V933" s="38"/>
      <c r="W933" s="38"/>
      <c r="X933" s="53"/>
      <c r="Y933" s="42"/>
      <c r="Z933" s="42"/>
      <c r="AA933" s="42"/>
    </row>
    <row r="934" ht="13.75" customHeight="1">
      <c r="A934" s="14" t="s">
        <v>140</v>
      </c>
      <c r="B934" s="56"/>
      <c r="C934" s="57"/>
      <c r="D934" s="57"/>
      <c r="E934" s="57"/>
      <c r="F934" s="57"/>
      <c r="G934" s="57"/>
      <c r="H934" s="58"/>
      <c r="I934" s="54"/>
      <c r="J934" s="59"/>
      <c r="K934" s="38"/>
      <c r="L934" s="38"/>
      <c r="M934" s="38"/>
      <c r="N934" s="38"/>
      <c r="O934" s="38"/>
      <c r="P934" s="38"/>
      <c r="Q934" s="38"/>
      <c r="R934" s="38"/>
      <c r="S934" s="38"/>
      <c r="T934" s="38"/>
      <c r="U934" s="38"/>
      <c r="V934" s="38"/>
      <c r="W934" s="38"/>
      <c r="X934" s="53"/>
      <c r="Y934" s="42"/>
      <c r="Z934" s="42"/>
      <c r="AA934" s="42"/>
    </row>
    <row r="935" ht="13.75" customHeight="1">
      <c r="A935" s="14" t="s">
        <v>140</v>
      </c>
      <c r="B935" s="56"/>
      <c r="C935" s="57"/>
      <c r="D935" s="57"/>
      <c r="E935" s="57"/>
      <c r="F935" s="57"/>
      <c r="G935" s="57"/>
      <c r="H935" s="58"/>
      <c r="I935" s="54"/>
      <c r="J935" s="59"/>
      <c r="K935" s="38"/>
      <c r="L935" s="38"/>
      <c r="M935" s="38"/>
      <c r="N935" s="38"/>
      <c r="O935" s="38"/>
      <c r="P935" s="38"/>
      <c r="Q935" s="38"/>
      <c r="R935" s="38"/>
      <c r="S935" s="38"/>
      <c r="T935" s="38"/>
      <c r="U935" s="38"/>
      <c r="V935" s="38"/>
      <c r="W935" s="38"/>
      <c r="X935" s="53"/>
      <c r="Y935" s="42"/>
      <c r="Z935" s="42"/>
      <c r="AA935" s="42"/>
    </row>
    <row r="936" ht="13.75" customHeight="1">
      <c r="A936" s="14" t="s">
        <v>140</v>
      </c>
      <c r="B936" s="56"/>
      <c r="C936" s="57"/>
      <c r="D936" s="57"/>
      <c r="E936" s="57"/>
      <c r="F936" s="57"/>
      <c r="G936" s="57"/>
      <c r="H936" s="58"/>
      <c r="I936" s="54"/>
      <c r="J936" s="59"/>
      <c r="K936" s="38"/>
      <c r="L936" s="38"/>
      <c r="M936" s="38"/>
      <c r="N936" s="38"/>
      <c r="O936" s="38"/>
      <c r="P936" s="38"/>
      <c r="Q936" s="38"/>
      <c r="R936" s="38"/>
      <c r="S936" s="38"/>
      <c r="T936" s="38"/>
      <c r="U936" s="38"/>
      <c r="V936" s="38"/>
      <c r="W936" s="38"/>
      <c r="X936" s="53"/>
      <c r="Y936" s="42"/>
      <c r="Z936" s="42"/>
      <c r="AA936" s="42"/>
    </row>
    <row r="937" ht="13.75" customHeight="1">
      <c r="A937" s="14" t="s">
        <v>140</v>
      </c>
      <c r="B937" s="56"/>
      <c r="C937" s="57"/>
      <c r="D937" s="57"/>
      <c r="E937" s="57"/>
      <c r="F937" s="57"/>
      <c r="G937" s="57"/>
      <c r="H937" s="58"/>
      <c r="I937" s="54"/>
      <c r="J937" s="59"/>
      <c r="K937" s="38"/>
      <c r="L937" s="38"/>
      <c r="M937" s="38"/>
      <c r="N937" s="38"/>
      <c r="O937" s="38"/>
      <c r="P937" s="38"/>
      <c r="Q937" s="38"/>
      <c r="R937" s="38"/>
      <c r="S937" s="38"/>
      <c r="T937" s="38"/>
      <c r="U937" s="38"/>
      <c r="V937" s="38"/>
      <c r="W937" s="38"/>
      <c r="X937" s="53"/>
      <c r="Y937" s="42"/>
      <c r="Z937" s="42"/>
      <c r="AA937" s="42"/>
    </row>
    <row r="938" ht="13.75" customHeight="1">
      <c r="A938" s="14" t="s">
        <v>140</v>
      </c>
      <c r="B938" s="56"/>
      <c r="C938" s="57"/>
      <c r="D938" s="57"/>
      <c r="E938" s="57"/>
      <c r="F938" s="57"/>
      <c r="G938" s="57"/>
      <c r="H938" s="58"/>
      <c r="I938" s="54"/>
      <c r="J938" s="59"/>
      <c r="K938" s="38"/>
      <c r="L938" s="38"/>
      <c r="M938" s="38"/>
      <c r="N938" s="38"/>
      <c r="O938" s="38"/>
      <c r="P938" s="38"/>
      <c r="Q938" s="38"/>
      <c r="R938" s="38"/>
      <c r="S938" s="38"/>
      <c r="T938" s="38"/>
      <c r="U938" s="38"/>
      <c r="V938" s="38"/>
      <c r="W938" s="38"/>
      <c r="X938" s="53"/>
      <c r="Y938" s="42"/>
      <c r="Z938" s="42"/>
      <c r="AA938" s="42"/>
    </row>
    <row r="939" ht="13.75" customHeight="1">
      <c r="A939" s="14" t="s">
        <v>140</v>
      </c>
      <c r="B939" s="56"/>
      <c r="C939" s="57"/>
      <c r="D939" s="57"/>
      <c r="E939" s="57"/>
      <c r="F939" s="57"/>
      <c r="G939" s="57"/>
      <c r="H939" s="58"/>
      <c r="I939" s="54"/>
      <c r="J939" s="59"/>
      <c r="K939" s="38"/>
      <c r="L939" s="38"/>
      <c r="M939" s="38"/>
      <c r="N939" s="38"/>
      <c r="O939" s="38"/>
      <c r="P939" s="38"/>
      <c r="Q939" s="38"/>
      <c r="R939" s="38"/>
      <c r="S939" s="38"/>
      <c r="T939" s="38"/>
      <c r="U939" s="38"/>
      <c r="V939" s="38"/>
      <c r="W939" s="38"/>
      <c r="X939" s="53"/>
      <c r="Y939" s="42"/>
      <c r="Z939" s="42"/>
      <c r="AA939" s="42"/>
    </row>
    <row r="940" ht="13.75" customHeight="1">
      <c r="A940" s="14" t="s">
        <v>140</v>
      </c>
      <c r="B940" s="56"/>
      <c r="C940" s="57"/>
      <c r="D940" s="57"/>
      <c r="E940" s="57"/>
      <c r="F940" s="57"/>
      <c r="G940" s="57"/>
      <c r="H940" s="58"/>
      <c r="I940" s="54"/>
      <c r="J940" s="59"/>
      <c r="K940" s="38"/>
      <c r="L940" s="38"/>
      <c r="M940" s="38"/>
      <c r="N940" s="38"/>
      <c r="O940" s="38"/>
      <c r="P940" s="38"/>
      <c r="Q940" s="38"/>
      <c r="R940" s="38"/>
      <c r="S940" s="38"/>
      <c r="T940" s="38"/>
      <c r="U940" s="38"/>
      <c r="V940" s="38"/>
      <c r="W940" s="38"/>
      <c r="X940" s="53"/>
      <c r="Y940" s="42"/>
      <c r="Z940" s="42"/>
      <c r="AA940" s="42"/>
    </row>
    <row r="941" ht="13.75" customHeight="1">
      <c r="A941" s="14" t="s">
        <v>140</v>
      </c>
      <c r="B941" s="56"/>
      <c r="C941" s="57"/>
      <c r="D941" s="57"/>
      <c r="E941" s="57"/>
      <c r="F941" s="57"/>
      <c r="G941" s="57"/>
      <c r="H941" s="58"/>
      <c r="I941" s="54"/>
      <c r="J941" s="59"/>
      <c r="K941" s="38"/>
      <c r="L941" s="38"/>
      <c r="M941" s="38"/>
      <c r="N941" s="38"/>
      <c r="O941" s="38"/>
      <c r="P941" s="38"/>
      <c r="Q941" s="38"/>
      <c r="R941" s="38"/>
      <c r="S941" s="38"/>
      <c r="T941" s="38"/>
      <c r="U941" s="38"/>
      <c r="V941" s="38"/>
      <c r="W941" s="38"/>
      <c r="X941" s="53"/>
      <c r="Y941" s="42"/>
      <c r="Z941" s="42"/>
      <c r="AA941" s="42"/>
    </row>
    <row r="942" ht="13.75" customHeight="1">
      <c r="A942" s="14" t="s">
        <v>140</v>
      </c>
      <c r="B942" s="56"/>
      <c r="C942" s="57"/>
      <c r="D942" s="57"/>
      <c r="E942" s="57"/>
      <c r="F942" s="57"/>
      <c r="G942" s="57"/>
      <c r="H942" s="58"/>
      <c r="I942" s="54"/>
      <c r="J942" s="59"/>
      <c r="K942" s="38"/>
      <c r="L942" s="38"/>
      <c r="M942" s="38"/>
      <c r="N942" s="38"/>
      <c r="O942" s="38"/>
      <c r="P942" s="38"/>
      <c r="Q942" s="38"/>
      <c r="R942" s="38"/>
      <c r="S942" s="38"/>
      <c r="T942" s="38"/>
      <c r="U942" s="38"/>
      <c r="V942" s="38"/>
      <c r="W942" s="38"/>
      <c r="X942" s="53"/>
      <c r="Y942" s="42"/>
      <c r="Z942" s="42"/>
      <c r="AA942" s="42"/>
    </row>
    <row r="943" ht="13.75" customHeight="1">
      <c r="A943" s="14" t="s">
        <v>140</v>
      </c>
      <c r="B943" s="56"/>
      <c r="C943" s="57"/>
      <c r="D943" s="57"/>
      <c r="E943" s="57"/>
      <c r="F943" s="57"/>
      <c r="G943" s="57"/>
      <c r="H943" s="58"/>
      <c r="I943" s="54"/>
      <c r="J943" s="59"/>
      <c r="K943" s="38"/>
      <c r="L943" s="38"/>
      <c r="M943" s="38"/>
      <c r="N943" s="38"/>
      <c r="O943" s="38"/>
      <c r="P943" s="38"/>
      <c r="Q943" s="38"/>
      <c r="R943" s="38"/>
      <c r="S943" s="38"/>
      <c r="T943" s="38"/>
      <c r="U943" s="38"/>
      <c r="V943" s="38"/>
      <c r="W943" s="38"/>
      <c r="X943" s="53"/>
      <c r="Y943" s="42"/>
      <c r="Z943" s="42"/>
      <c r="AA943" s="42"/>
    </row>
    <row r="944" ht="13.75" customHeight="1">
      <c r="A944" s="14" t="s">
        <v>140</v>
      </c>
      <c r="B944" s="56"/>
      <c r="C944" s="57"/>
      <c r="D944" s="57"/>
      <c r="E944" s="57"/>
      <c r="F944" s="57"/>
      <c r="G944" s="57"/>
      <c r="H944" s="58"/>
      <c r="I944" s="54"/>
      <c r="J944" s="59"/>
      <c r="K944" s="38"/>
      <c r="L944" s="38"/>
      <c r="M944" s="38"/>
      <c r="N944" s="38"/>
      <c r="O944" s="38"/>
      <c r="P944" s="38"/>
      <c r="Q944" s="38"/>
      <c r="R944" s="38"/>
      <c r="S944" s="38"/>
      <c r="T944" s="38"/>
      <c r="U944" s="38"/>
      <c r="V944" s="38"/>
      <c r="W944" s="38"/>
      <c r="X944" s="53"/>
      <c r="Y944" s="42"/>
      <c r="Z944" s="42"/>
      <c r="AA944" s="42"/>
    </row>
    <row r="945" ht="13.75" customHeight="1">
      <c r="A945" s="14" t="s">
        <v>140</v>
      </c>
      <c r="B945" s="56"/>
      <c r="C945" s="57"/>
      <c r="D945" s="57"/>
      <c r="E945" s="57"/>
      <c r="F945" s="57"/>
      <c r="G945" s="57"/>
      <c r="H945" s="58"/>
      <c r="I945" s="54"/>
      <c r="J945" s="59"/>
      <c r="K945" s="38"/>
      <c r="L945" s="38"/>
      <c r="M945" s="38"/>
      <c r="N945" s="38"/>
      <c r="O945" s="38"/>
      <c r="P945" s="38"/>
      <c r="Q945" s="38"/>
      <c r="R945" s="38"/>
      <c r="S945" s="38"/>
      <c r="T945" s="38"/>
      <c r="U945" s="38"/>
      <c r="V945" s="38"/>
      <c r="W945" s="38"/>
      <c r="X945" s="53"/>
      <c r="Y945" s="42"/>
      <c r="Z945" s="42"/>
      <c r="AA945" s="42"/>
    </row>
    <row r="946" ht="13.75" customHeight="1">
      <c r="A946" s="14" t="s">
        <v>140</v>
      </c>
      <c r="B946" s="56"/>
      <c r="C946" s="57"/>
      <c r="D946" s="57"/>
      <c r="E946" s="57"/>
      <c r="F946" s="57"/>
      <c r="G946" s="57"/>
      <c r="H946" s="58"/>
      <c r="I946" s="54"/>
      <c r="J946" s="59"/>
      <c r="K946" s="38"/>
      <c r="L946" s="38"/>
      <c r="M946" s="38"/>
      <c r="N946" s="38"/>
      <c r="O946" s="38"/>
      <c r="P946" s="38"/>
      <c r="Q946" s="38"/>
      <c r="R946" s="38"/>
      <c r="S946" s="38"/>
      <c r="T946" s="38"/>
      <c r="U946" s="38"/>
      <c r="V946" s="38"/>
      <c r="W946" s="38"/>
      <c r="X946" s="53"/>
      <c r="Y946" s="42"/>
      <c r="Z946" s="42"/>
      <c r="AA946" s="42"/>
    </row>
    <row r="947" ht="13.75" customHeight="1">
      <c r="A947" s="14" t="s">
        <v>140</v>
      </c>
      <c r="B947" s="56"/>
      <c r="C947" s="57"/>
      <c r="D947" s="57"/>
      <c r="E947" s="57"/>
      <c r="F947" s="57"/>
      <c r="G947" s="57"/>
      <c r="H947" s="58"/>
      <c r="I947" s="54"/>
      <c r="J947" s="59"/>
      <c r="K947" s="38"/>
      <c r="L947" s="38"/>
      <c r="M947" s="38"/>
      <c r="N947" s="38"/>
      <c r="O947" s="38"/>
      <c r="P947" s="38"/>
      <c r="Q947" s="38"/>
      <c r="R947" s="38"/>
      <c r="S947" s="38"/>
      <c r="T947" s="38"/>
      <c r="U947" s="38"/>
      <c r="V947" s="38"/>
      <c r="W947" s="38"/>
      <c r="X947" s="53"/>
      <c r="Y947" s="42"/>
      <c r="Z947" s="42"/>
      <c r="AA947" s="42"/>
    </row>
    <row r="948" ht="13.75" customHeight="1">
      <c r="A948" s="14" t="s">
        <v>140</v>
      </c>
      <c r="B948" s="56"/>
      <c r="C948" s="57"/>
      <c r="D948" s="57"/>
      <c r="E948" s="57"/>
      <c r="F948" s="57"/>
      <c r="G948" s="57"/>
      <c r="H948" s="58"/>
      <c r="I948" s="54"/>
      <c r="J948" s="59"/>
      <c r="K948" s="38"/>
      <c r="L948" s="38"/>
      <c r="M948" s="38"/>
      <c r="N948" s="38"/>
      <c r="O948" s="38"/>
      <c r="P948" s="38"/>
      <c r="Q948" s="38"/>
      <c r="R948" s="38"/>
      <c r="S948" s="38"/>
      <c r="T948" s="38"/>
      <c r="U948" s="38"/>
      <c r="V948" s="38"/>
      <c r="W948" s="38"/>
      <c r="X948" s="53"/>
      <c r="Y948" s="42"/>
      <c r="Z948" s="42"/>
      <c r="AA948" s="42"/>
    </row>
    <row r="949" ht="13.75" customHeight="1">
      <c r="A949" s="14" t="s">
        <v>140</v>
      </c>
      <c r="B949" s="56"/>
      <c r="C949" s="57"/>
      <c r="D949" s="57"/>
      <c r="E949" s="57"/>
      <c r="F949" s="57"/>
      <c r="G949" s="57"/>
      <c r="H949" s="58"/>
      <c r="I949" s="54"/>
      <c r="J949" s="59"/>
      <c r="K949" s="38"/>
      <c r="L949" s="38"/>
      <c r="M949" s="38"/>
      <c r="N949" s="38"/>
      <c r="O949" s="38"/>
      <c r="P949" s="38"/>
      <c r="Q949" s="38"/>
      <c r="R949" s="38"/>
      <c r="S949" s="38"/>
      <c r="T949" s="38"/>
      <c r="U949" s="38"/>
      <c r="V949" s="38"/>
      <c r="W949" s="38"/>
      <c r="X949" s="53"/>
      <c r="Y949" s="42"/>
      <c r="Z949" s="42"/>
      <c r="AA949" s="42"/>
    </row>
    <row r="950" ht="13.75" customHeight="1">
      <c r="A950" s="14" t="s">
        <v>140</v>
      </c>
      <c r="B950" s="56"/>
      <c r="C950" s="57"/>
      <c r="D950" s="57"/>
      <c r="E950" s="57"/>
      <c r="F950" s="57"/>
      <c r="G950" s="57"/>
      <c r="H950" s="58"/>
      <c r="I950" s="54"/>
      <c r="J950" s="59"/>
      <c r="K950" s="38"/>
      <c r="L950" s="38"/>
      <c r="M950" s="38"/>
      <c r="N950" s="38"/>
      <c r="O950" s="38"/>
      <c r="P950" s="38"/>
      <c r="Q950" s="38"/>
      <c r="R950" s="38"/>
      <c r="S950" s="38"/>
      <c r="T950" s="38"/>
      <c r="U950" s="38"/>
      <c r="V950" s="38"/>
      <c r="W950" s="38"/>
      <c r="X950" s="53"/>
      <c r="Y950" s="42"/>
      <c r="Z950" s="42"/>
      <c r="AA950" s="42"/>
    </row>
    <row r="951" ht="13.75" customHeight="1">
      <c r="A951" s="14" t="s">
        <v>140</v>
      </c>
      <c r="B951" s="56"/>
      <c r="C951" s="57"/>
      <c r="D951" s="57"/>
      <c r="E951" s="57"/>
      <c r="F951" s="57"/>
      <c r="G951" s="57"/>
      <c r="H951" s="58"/>
      <c r="I951" s="54"/>
      <c r="J951" s="59"/>
      <c r="K951" s="38"/>
      <c r="L951" s="38"/>
      <c r="M951" s="38"/>
      <c r="N951" s="38"/>
      <c r="O951" s="38"/>
      <c r="P951" s="38"/>
      <c r="Q951" s="38"/>
      <c r="R951" s="38"/>
      <c r="S951" s="38"/>
      <c r="T951" s="38"/>
      <c r="U951" s="38"/>
      <c r="V951" s="38"/>
      <c r="W951" s="38"/>
      <c r="X951" s="53"/>
      <c r="Y951" s="42"/>
      <c r="Z951" s="42"/>
      <c r="AA951" s="42"/>
    </row>
    <row r="952" ht="13.75" customHeight="1">
      <c r="A952" s="14" t="s">
        <v>140</v>
      </c>
      <c r="B952" s="56"/>
      <c r="C952" s="57"/>
      <c r="D952" s="57"/>
      <c r="E952" s="57"/>
      <c r="F952" s="57"/>
      <c r="G952" s="57"/>
      <c r="H952" s="58"/>
      <c r="I952" s="54"/>
      <c r="J952" s="59"/>
      <c r="K952" s="38"/>
      <c r="L952" s="38"/>
      <c r="M952" s="38"/>
      <c r="N952" s="38"/>
      <c r="O952" s="38"/>
      <c r="P952" s="38"/>
      <c r="Q952" s="38"/>
      <c r="R952" s="38"/>
      <c r="S952" s="38"/>
      <c r="T952" s="38"/>
      <c r="U952" s="38"/>
      <c r="V952" s="38"/>
      <c r="W952" s="38"/>
      <c r="X952" s="53"/>
      <c r="Y952" s="42"/>
      <c r="Z952" s="42"/>
      <c r="AA952" s="42"/>
    </row>
    <row r="953" ht="13.75" customHeight="1">
      <c r="A953" s="14" t="s">
        <v>140</v>
      </c>
      <c r="B953" s="56"/>
      <c r="C953" s="57"/>
      <c r="D953" s="57"/>
      <c r="E953" s="57"/>
      <c r="F953" s="57"/>
      <c r="G953" s="57"/>
      <c r="H953" s="58"/>
      <c r="I953" s="54"/>
      <c r="J953" s="59"/>
      <c r="K953" s="38"/>
      <c r="L953" s="38"/>
      <c r="M953" s="38"/>
      <c r="N953" s="38"/>
      <c r="O953" s="38"/>
      <c r="P953" s="38"/>
      <c r="Q953" s="38"/>
      <c r="R953" s="38"/>
      <c r="S953" s="38"/>
      <c r="T953" s="38"/>
      <c r="U953" s="38"/>
      <c r="V953" s="38"/>
      <c r="W953" s="38"/>
      <c r="X953" s="53"/>
      <c r="Y953" s="42"/>
      <c r="Z953" s="42"/>
      <c r="AA953" s="42"/>
    </row>
    <row r="954" ht="13.75" customHeight="1">
      <c r="A954" s="14" t="s">
        <v>140</v>
      </c>
      <c r="B954" s="56"/>
      <c r="C954" s="57"/>
      <c r="D954" s="57"/>
      <c r="E954" s="57"/>
      <c r="F954" s="57"/>
      <c r="G954" s="57"/>
      <c r="H954" s="58"/>
      <c r="I954" s="54"/>
      <c r="J954" s="59"/>
      <c r="K954" s="38"/>
      <c r="L954" s="38"/>
      <c r="M954" s="38"/>
      <c r="N954" s="38"/>
      <c r="O954" s="38"/>
      <c r="P954" s="38"/>
      <c r="Q954" s="38"/>
      <c r="R954" s="38"/>
      <c r="S954" s="38"/>
      <c r="T954" s="38"/>
      <c r="U954" s="38"/>
      <c r="V954" s="38"/>
      <c r="W954" s="38"/>
      <c r="X954" s="53"/>
      <c r="Y954" s="42"/>
      <c r="Z954" s="42"/>
      <c r="AA954" s="42"/>
    </row>
    <row r="955" ht="13.75" customHeight="1">
      <c r="A955" s="14" t="s">
        <v>140</v>
      </c>
      <c r="B955" s="56"/>
      <c r="C955" s="57"/>
      <c r="D955" s="57"/>
      <c r="E955" s="57"/>
      <c r="F955" s="57"/>
      <c r="G955" s="57"/>
      <c r="H955" s="58"/>
      <c r="I955" s="54"/>
      <c r="J955" s="59"/>
      <c r="K955" s="38"/>
      <c r="L955" s="38"/>
      <c r="M955" s="38"/>
      <c r="N955" s="38"/>
      <c r="O955" s="38"/>
      <c r="P955" s="38"/>
      <c r="Q955" s="38"/>
      <c r="R955" s="38"/>
      <c r="S955" s="38"/>
      <c r="T955" s="38"/>
      <c r="U955" s="38"/>
      <c r="V955" s="38"/>
      <c r="W955" s="38"/>
      <c r="X955" s="53"/>
      <c r="Y955" s="42"/>
      <c r="Z955" s="42"/>
      <c r="AA955" s="42"/>
    </row>
    <row r="956" ht="13.75" customHeight="1">
      <c r="A956" s="14" t="s">
        <v>140</v>
      </c>
      <c r="B956" s="56"/>
      <c r="C956" s="57"/>
      <c r="D956" s="57"/>
      <c r="E956" s="57"/>
      <c r="F956" s="57"/>
      <c r="G956" s="57"/>
      <c r="H956" s="58"/>
      <c r="I956" s="54"/>
      <c r="J956" s="59"/>
      <c r="K956" s="38"/>
      <c r="L956" s="38"/>
      <c r="M956" s="38"/>
      <c r="N956" s="38"/>
      <c r="O956" s="38"/>
      <c r="P956" s="38"/>
      <c r="Q956" s="38"/>
      <c r="R956" s="38"/>
      <c r="S956" s="38"/>
      <c r="T956" s="38"/>
      <c r="U956" s="38"/>
      <c r="V956" s="38"/>
      <c r="W956" s="38"/>
      <c r="X956" s="53"/>
      <c r="Y956" s="42"/>
      <c r="Z956" s="42"/>
      <c r="AA956" s="42"/>
    </row>
    <row r="957" ht="13.75" customHeight="1">
      <c r="A957" s="14" t="s">
        <v>140</v>
      </c>
      <c r="B957" s="56"/>
      <c r="C957" s="57"/>
      <c r="D957" s="57"/>
      <c r="E957" s="57"/>
      <c r="F957" s="57"/>
      <c r="G957" s="57"/>
      <c r="H957" s="58"/>
      <c r="I957" s="54"/>
      <c r="J957" s="59"/>
      <c r="K957" s="38"/>
      <c r="L957" s="38"/>
      <c r="M957" s="38"/>
      <c r="N957" s="38"/>
      <c r="O957" s="38"/>
      <c r="P957" s="38"/>
      <c r="Q957" s="38"/>
      <c r="R957" s="38"/>
      <c r="S957" s="38"/>
      <c r="T957" s="38"/>
      <c r="U957" s="38"/>
      <c r="V957" s="38"/>
      <c r="W957" s="38"/>
      <c r="X957" s="53"/>
      <c r="Y957" s="42"/>
      <c r="Z957" s="42"/>
      <c r="AA957" s="42"/>
    </row>
    <row r="958" ht="13.75" customHeight="1">
      <c r="A958" s="14" t="s">
        <v>140</v>
      </c>
      <c r="B958" s="56"/>
      <c r="C958" s="57"/>
      <c r="D958" s="57"/>
      <c r="E958" s="57"/>
      <c r="F958" s="57"/>
      <c r="G958" s="57"/>
      <c r="H958" s="58"/>
      <c r="I958" s="54"/>
      <c r="J958" s="59"/>
      <c r="K958" s="38"/>
      <c r="L958" s="38"/>
      <c r="M958" s="38"/>
      <c r="N958" s="38"/>
      <c r="O958" s="38"/>
      <c r="P958" s="38"/>
      <c r="Q958" s="38"/>
      <c r="R958" s="38"/>
      <c r="S958" s="38"/>
      <c r="T958" s="38"/>
      <c r="U958" s="38"/>
      <c r="V958" s="38"/>
      <c r="W958" s="38"/>
      <c r="X958" s="53"/>
      <c r="Y958" s="42"/>
      <c r="Z958" s="42"/>
      <c r="AA958" s="42"/>
    </row>
    <row r="959" ht="13.75" customHeight="1">
      <c r="A959" s="14" t="s">
        <v>140</v>
      </c>
      <c r="B959" s="56"/>
      <c r="C959" s="57"/>
      <c r="D959" s="57"/>
      <c r="E959" s="57"/>
      <c r="F959" s="57"/>
      <c r="G959" s="57"/>
      <c r="H959" s="58"/>
      <c r="I959" s="54"/>
      <c r="J959" s="59"/>
      <c r="K959" s="38"/>
      <c r="L959" s="38"/>
      <c r="M959" s="38"/>
      <c r="N959" s="38"/>
      <c r="O959" s="38"/>
      <c r="P959" s="38"/>
      <c r="Q959" s="38"/>
      <c r="R959" s="38"/>
      <c r="S959" s="38"/>
      <c r="T959" s="38"/>
      <c r="U959" s="38"/>
      <c r="V959" s="38"/>
      <c r="W959" s="38"/>
      <c r="X959" s="53"/>
      <c r="Y959" s="42"/>
      <c r="Z959" s="42"/>
      <c r="AA959" s="42"/>
    </row>
    <row r="960" ht="13.75" customHeight="1">
      <c r="A960" s="14" t="s">
        <v>140</v>
      </c>
      <c r="B960" s="56"/>
      <c r="C960" s="57"/>
      <c r="D960" s="57"/>
      <c r="E960" s="57"/>
      <c r="F960" s="57"/>
      <c r="G960" s="57"/>
      <c r="H960" s="58"/>
      <c r="I960" s="54"/>
      <c r="J960" s="59"/>
      <c r="K960" s="38"/>
      <c r="L960" s="38"/>
      <c r="M960" s="38"/>
      <c r="N960" s="38"/>
      <c r="O960" s="38"/>
      <c r="P960" s="38"/>
      <c r="Q960" s="38"/>
      <c r="R960" s="38"/>
      <c r="S960" s="38"/>
      <c r="T960" s="38"/>
      <c r="U960" s="38"/>
      <c r="V960" s="38"/>
      <c r="W960" s="38"/>
      <c r="X960" s="53"/>
      <c r="Y960" s="42"/>
      <c r="Z960" s="42"/>
      <c r="AA960" s="42"/>
    </row>
    <row r="961" ht="13.75" customHeight="1">
      <c r="A961" s="14" t="s">
        <v>140</v>
      </c>
      <c r="B961" s="56"/>
      <c r="C961" s="57"/>
      <c r="D961" s="57"/>
      <c r="E961" s="57"/>
      <c r="F961" s="57"/>
      <c r="G961" s="57"/>
      <c r="H961" s="58"/>
      <c r="I961" s="54"/>
      <c r="J961" s="59"/>
      <c r="K961" s="38"/>
      <c r="L961" s="38"/>
      <c r="M961" s="38"/>
      <c r="N961" s="38"/>
      <c r="O961" s="38"/>
      <c r="P961" s="38"/>
      <c r="Q961" s="38"/>
      <c r="R961" s="38"/>
      <c r="S961" s="38"/>
      <c r="T961" s="38"/>
      <c r="U961" s="38"/>
      <c r="V961" s="38"/>
      <c r="W961" s="38"/>
      <c r="X961" s="53"/>
      <c r="Y961" s="42"/>
      <c r="Z961" s="42"/>
      <c r="AA961" s="42"/>
    </row>
    <row r="962" ht="13.75" customHeight="1">
      <c r="A962" s="14" t="s">
        <v>140</v>
      </c>
      <c r="B962" s="56"/>
      <c r="C962" s="57"/>
      <c r="D962" s="57"/>
      <c r="E962" s="57"/>
      <c r="F962" s="57"/>
      <c r="G962" s="57"/>
      <c r="H962" s="58"/>
      <c r="I962" s="54"/>
      <c r="J962" s="59"/>
      <c r="K962" s="38"/>
      <c r="L962" s="38"/>
      <c r="M962" s="38"/>
      <c r="N962" s="38"/>
      <c r="O962" s="38"/>
      <c r="P962" s="38"/>
      <c r="Q962" s="38"/>
      <c r="R962" s="38"/>
      <c r="S962" s="38"/>
      <c r="T962" s="38"/>
      <c r="U962" s="38"/>
      <c r="V962" s="38"/>
      <c r="W962" s="38"/>
      <c r="X962" s="53"/>
      <c r="Y962" s="42"/>
      <c r="Z962" s="42"/>
      <c r="AA962" s="42"/>
    </row>
    <row r="963" ht="13.75" customHeight="1">
      <c r="A963" s="14" t="s">
        <v>140</v>
      </c>
      <c r="B963" s="56"/>
      <c r="C963" s="57"/>
      <c r="D963" s="57"/>
      <c r="E963" s="57"/>
      <c r="F963" s="57"/>
      <c r="G963" s="57"/>
      <c r="H963" s="58"/>
      <c r="I963" s="54"/>
      <c r="J963" s="59"/>
      <c r="K963" s="38"/>
      <c r="L963" s="38"/>
      <c r="M963" s="38"/>
      <c r="N963" s="38"/>
      <c r="O963" s="38"/>
      <c r="P963" s="38"/>
      <c r="Q963" s="38"/>
      <c r="R963" s="38"/>
      <c r="S963" s="38"/>
      <c r="T963" s="38"/>
      <c r="U963" s="38"/>
      <c r="V963" s="38"/>
      <c r="W963" s="38"/>
      <c r="X963" s="53"/>
      <c r="Y963" s="42"/>
      <c r="Z963" s="42"/>
      <c r="AA963" s="42"/>
    </row>
    <row r="964" ht="13.75" customHeight="1">
      <c r="A964" s="14" t="s">
        <v>140</v>
      </c>
      <c r="B964" s="56"/>
      <c r="C964" s="57"/>
      <c r="D964" s="57"/>
      <c r="E964" s="57"/>
      <c r="F964" s="57"/>
      <c r="G964" s="57"/>
      <c r="H964" s="58"/>
      <c r="I964" s="54"/>
      <c r="J964" s="59"/>
      <c r="K964" s="38"/>
      <c r="L964" s="38"/>
      <c r="M964" s="38"/>
      <c r="N964" s="38"/>
      <c r="O964" s="38"/>
      <c r="P964" s="38"/>
      <c r="Q964" s="38"/>
      <c r="R964" s="38"/>
      <c r="S964" s="38"/>
      <c r="T964" s="38"/>
      <c r="U964" s="38"/>
      <c r="V964" s="38"/>
      <c r="W964" s="38"/>
      <c r="X964" s="53"/>
      <c r="Y964" s="42"/>
      <c r="Z964" s="42"/>
      <c r="AA964" s="42"/>
    </row>
    <row r="965" ht="13.75" customHeight="1">
      <c r="A965" s="14" t="s">
        <v>140</v>
      </c>
      <c r="B965" s="56"/>
      <c r="C965" s="57"/>
      <c r="D965" s="57"/>
      <c r="E965" s="57"/>
      <c r="F965" s="57"/>
      <c r="G965" s="57"/>
      <c r="H965" s="58"/>
      <c r="I965" s="54"/>
      <c r="J965" s="59"/>
      <c r="K965" s="38"/>
      <c r="L965" s="38"/>
      <c r="M965" s="38"/>
      <c r="N965" s="38"/>
      <c r="O965" s="38"/>
      <c r="P965" s="38"/>
      <c r="Q965" s="38"/>
      <c r="R965" s="38"/>
      <c r="S965" s="38"/>
      <c r="T965" s="38"/>
      <c r="U965" s="38"/>
      <c r="V965" s="38"/>
      <c r="W965" s="38"/>
      <c r="X965" s="53"/>
      <c r="Y965" s="42"/>
      <c r="Z965" s="42"/>
      <c r="AA965" s="42"/>
    </row>
    <row r="966" ht="13.75" customHeight="1">
      <c r="A966" s="14" t="s">
        <v>140</v>
      </c>
      <c r="B966" s="56"/>
      <c r="C966" s="57"/>
      <c r="D966" s="57"/>
      <c r="E966" s="57"/>
      <c r="F966" s="57"/>
      <c r="G966" s="57"/>
      <c r="H966" s="58"/>
      <c r="I966" s="54"/>
      <c r="J966" s="59"/>
      <c r="K966" s="38"/>
      <c r="L966" s="38"/>
      <c r="M966" s="38"/>
      <c r="N966" s="38"/>
      <c r="O966" s="38"/>
      <c r="P966" s="38"/>
      <c r="Q966" s="38"/>
      <c r="R966" s="38"/>
      <c r="S966" s="38"/>
      <c r="T966" s="38"/>
      <c r="U966" s="38"/>
      <c r="V966" s="38"/>
      <c r="W966" s="38"/>
      <c r="X966" s="53"/>
      <c r="Y966" s="42"/>
      <c r="Z966" s="42"/>
      <c r="AA966" s="42"/>
    </row>
    <row r="967" ht="13.75" customHeight="1">
      <c r="A967" s="14" t="s">
        <v>140</v>
      </c>
      <c r="B967" s="56"/>
      <c r="C967" s="57"/>
      <c r="D967" s="57"/>
      <c r="E967" s="57"/>
      <c r="F967" s="57"/>
      <c r="G967" s="57"/>
      <c r="H967" s="58"/>
      <c r="I967" s="54"/>
      <c r="J967" s="59"/>
      <c r="K967" s="38"/>
      <c r="L967" s="38"/>
      <c r="M967" s="38"/>
      <c r="N967" s="38"/>
      <c r="O967" s="38"/>
      <c r="P967" s="38"/>
      <c r="Q967" s="38"/>
      <c r="R967" s="38"/>
      <c r="S967" s="38"/>
      <c r="T967" s="38"/>
      <c r="U967" s="38"/>
      <c r="V967" s="38"/>
      <c r="W967" s="38"/>
      <c r="X967" s="53"/>
      <c r="Y967" s="42"/>
      <c r="Z967" s="42"/>
      <c r="AA967" s="42"/>
    </row>
    <row r="968" ht="13.75" customHeight="1">
      <c r="A968" s="14" t="s">
        <v>140</v>
      </c>
      <c r="B968" s="56"/>
      <c r="C968" s="57"/>
      <c r="D968" s="57"/>
      <c r="E968" s="57"/>
      <c r="F968" s="57"/>
      <c r="G968" s="57"/>
      <c r="H968" s="58"/>
      <c r="I968" s="54"/>
      <c r="J968" s="59"/>
      <c r="K968" s="38"/>
      <c r="L968" s="38"/>
      <c r="M968" s="38"/>
      <c r="N968" s="38"/>
      <c r="O968" s="38"/>
      <c r="P968" s="38"/>
      <c r="Q968" s="38"/>
      <c r="R968" s="38"/>
      <c r="S968" s="38"/>
      <c r="T968" s="38"/>
      <c r="U968" s="38"/>
      <c r="V968" s="38"/>
      <c r="W968" s="38"/>
      <c r="X968" s="53"/>
      <c r="Y968" s="42"/>
      <c r="Z968" s="42"/>
      <c r="AA968" s="42"/>
    </row>
    <row r="969" ht="13.75" customHeight="1">
      <c r="A969" s="14" t="s">
        <v>140</v>
      </c>
      <c r="B969" s="56"/>
      <c r="C969" s="57"/>
      <c r="D969" s="57"/>
      <c r="E969" s="57"/>
      <c r="F969" s="57"/>
      <c r="G969" s="57"/>
      <c r="H969" s="58"/>
      <c r="I969" s="54"/>
      <c r="J969" s="59"/>
      <c r="K969" s="38"/>
      <c r="L969" s="38"/>
      <c r="M969" s="38"/>
      <c r="N969" s="38"/>
      <c r="O969" s="38"/>
      <c r="P969" s="38"/>
      <c r="Q969" s="38"/>
      <c r="R969" s="38"/>
      <c r="S969" s="38"/>
      <c r="T969" s="38"/>
      <c r="U969" s="38"/>
      <c r="V969" s="38"/>
      <c r="W969" s="38"/>
      <c r="X969" s="53"/>
      <c r="Y969" s="42"/>
      <c r="Z969" s="42"/>
      <c r="AA969" s="42"/>
    </row>
    <row r="970" ht="13.75" customHeight="1">
      <c r="A970" s="14" t="s">
        <v>140</v>
      </c>
      <c r="B970" s="56"/>
      <c r="C970" s="57"/>
      <c r="D970" s="57"/>
      <c r="E970" s="57"/>
      <c r="F970" s="57"/>
      <c r="G970" s="57"/>
      <c r="H970" s="58"/>
      <c r="I970" s="54"/>
      <c r="J970" s="59"/>
      <c r="K970" s="38"/>
      <c r="L970" s="38"/>
      <c r="M970" s="38"/>
      <c r="N970" s="38"/>
      <c r="O970" s="38"/>
      <c r="P970" s="38"/>
      <c r="Q970" s="38"/>
      <c r="R970" s="38"/>
      <c r="S970" s="38"/>
      <c r="T970" s="38"/>
      <c r="U970" s="38"/>
      <c r="V970" s="38"/>
      <c r="W970" s="38"/>
      <c r="X970" s="53"/>
      <c r="Y970" s="42"/>
      <c r="Z970" s="42"/>
      <c r="AA970" s="42"/>
    </row>
    <row r="971" ht="13.75" customHeight="1">
      <c r="A971" s="14" t="s">
        <v>140</v>
      </c>
      <c r="B971" s="56"/>
      <c r="C971" s="57"/>
      <c r="D971" s="57"/>
      <c r="E971" s="57"/>
      <c r="F971" s="57"/>
      <c r="G971" s="57"/>
      <c r="H971" s="58"/>
      <c r="I971" s="54"/>
      <c r="J971" s="59"/>
      <c r="K971" s="38"/>
      <c r="L971" s="38"/>
      <c r="M971" s="38"/>
      <c r="N971" s="38"/>
      <c r="O971" s="38"/>
      <c r="P971" s="38"/>
      <c r="Q971" s="38"/>
      <c r="R971" s="38"/>
      <c r="S971" s="38"/>
      <c r="T971" s="38"/>
      <c r="U971" s="38"/>
      <c r="V971" s="38"/>
      <c r="W971" s="38"/>
      <c r="X971" s="53"/>
      <c r="Y971" s="42"/>
      <c r="Z971" s="42"/>
      <c r="AA971" s="42"/>
    </row>
    <row r="972" ht="13.75" customHeight="1">
      <c r="A972" s="14" t="s">
        <v>140</v>
      </c>
      <c r="B972" s="56"/>
      <c r="C972" s="57"/>
      <c r="D972" s="57"/>
      <c r="E972" s="57"/>
      <c r="F972" s="57"/>
      <c r="G972" s="57"/>
      <c r="H972" s="58"/>
      <c r="I972" s="54"/>
      <c r="J972" s="59"/>
      <c r="K972" s="38"/>
      <c r="L972" s="38"/>
      <c r="M972" s="38"/>
      <c r="N972" s="38"/>
      <c r="O972" s="38"/>
      <c r="P972" s="38"/>
      <c r="Q972" s="38"/>
      <c r="R972" s="38"/>
      <c r="S972" s="38"/>
      <c r="T972" s="38"/>
      <c r="U972" s="38"/>
      <c r="V972" s="38"/>
      <c r="W972" s="38"/>
      <c r="X972" s="53"/>
      <c r="Y972" s="42"/>
      <c r="Z972" s="42"/>
      <c r="AA972" s="42"/>
    </row>
    <row r="973" ht="13.75" customHeight="1">
      <c r="A973" s="14" t="s">
        <v>140</v>
      </c>
      <c r="B973" s="56"/>
      <c r="C973" s="57"/>
      <c r="D973" s="57"/>
      <c r="E973" s="57"/>
      <c r="F973" s="57"/>
      <c r="G973" s="57"/>
      <c r="H973" s="58"/>
      <c r="I973" s="54"/>
      <c r="J973" s="59"/>
      <c r="K973" s="38"/>
      <c r="L973" s="38"/>
      <c r="N973" s="38"/>
      <c r="O973" s="38"/>
      <c r="P973" s="38"/>
      <c r="Q973" s="38"/>
      <c r="R973" s="38"/>
      <c r="S973" s="38"/>
      <c r="T973" s="38"/>
      <c r="U973" s="38"/>
      <c r="V973" s="38"/>
      <c r="W973" s="38"/>
      <c r="X973" s="53"/>
      <c r="Y973" s="42"/>
      <c r="Z973" s="42"/>
      <c r="AA973" s="42"/>
    </row>
    <row r="974" ht="13.75" customHeight="1">
      <c r="A974" s="14" t="s">
        <v>140</v>
      </c>
      <c r="B974" s="56"/>
      <c r="C974" s="57"/>
      <c r="D974" s="57"/>
      <c r="E974" s="57"/>
      <c r="F974" s="57"/>
      <c r="G974" s="57"/>
      <c r="H974" s="58"/>
      <c r="I974" s="54"/>
      <c r="J974" s="59"/>
      <c r="K974" s="38"/>
      <c r="L974" s="38"/>
      <c r="N974" s="38"/>
      <c r="O974" s="38"/>
      <c r="P974" s="38"/>
      <c r="Q974" s="38"/>
      <c r="R974" s="38"/>
      <c r="S974" s="38"/>
      <c r="T974" s="38"/>
      <c r="U974" s="38"/>
      <c r="V974" s="38"/>
      <c r="W974" s="38"/>
      <c r="X974" s="53"/>
      <c r="Y974" s="42"/>
      <c r="Z974" s="42"/>
    </row>
    <row r="975" ht="15.5" customHeight="1">
      <c r="A975" s="14" t="s">
        <v>140</v>
      </c>
      <c r="B975" s="1"/>
    </row>
    <row r="976" ht="15.5" customHeight="1">
      <c r="A976" s="14" t="s">
        <v>140</v>
      </c>
      <c r="B976" s="1"/>
    </row>
    <row r="977" ht="15.5" customHeight="1">
      <c r="A977" s="14" t="s">
        <v>140</v>
      </c>
      <c r="B977" s="1"/>
    </row>
    <row r="978" ht="15.5" customHeight="1">
      <c r="A978" s="14" t="s">
        <v>140</v>
      </c>
      <c r="B978" s="1"/>
    </row>
    <row r="979" ht="15.5" customHeight="1">
      <c r="A979" s="14" t="s">
        <v>140</v>
      </c>
      <c r="B979" s="1"/>
    </row>
    <row r="980" ht="15.5" customHeight="1">
      <c r="A980" s="14" t="s">
        <v>140</v>
      </c>
      <c r="B980" s="1"/>
    </row>
    <row r="981" ht="15.5" customHeight="1">
      <c r="A981" s="14" t="s">
        <v>140</v>
      </c>
      <c r="B981" s="1"/>
    </row>
    <row r="982" ht="15.5" customHeight="1">
      <c r="A982" s="14" t="s">
        <v>140</v>
      </c>
      <c r="B982" s="1"/>
    </row>
    <row r="983" ht="15.5" customHeight="1">
      <c r="A983" s="14" t="s">
        <v>140</v>
      </c>
      <c r="B983" s="1"/>
    </row>
    <row r="984" ht="15.5" customHeight="1">
      <c r="A984" s="14" t="s">
        <v>140</v>
      </c>
      <c r="B984" s="1"/>
    </row>
    <row r="985" ht="15.5" customHeight="1">
      <c r="A985" s="14" t="s">
        <v>140</v>
      </c>
      <c r="B985" s="1"/>
    </row>
    <row r="986" ht="15.5" customHeight="1">
      <c r="A986" s="14" t="s">
        <v>140</v>
      </c>
      <c r="B986" s="1"/>
    </row>
    <row r="987" ht="15.5" customHeight="1">
      <c r="A987" s="14" t="s">
        <v>140</v>
      </c>
      <c r="B987" s="1"/>
    </row>
    <row r="988" ht="15.5" customHeight="1">
      <c r="A988" s="14" t="s">
        <v>140</v>
      </c>
      <c r="B988" s="1"/>
    </row>
    <row r="989" ht="15.5" customHeight="1">
      <c r="A989" s="14" t="s">
        <v>140</v>
      </c>
      <c r="B989" s="1"/>
    </row>
    <row r="990" ht="15.5" customHeight="1">
      <c r="A990" s="14" t="s">
        <v>140</v>
      </c>
      <c r="B990" s="1"/>
    </row>
    <row r="991" ht="15.5" customHeight="1">
      <c r="A991" s="14" t="s">
        <v>140</v>
      </c>
      <c r="B991" s="1"/>
    </row>
    <row r="992" ht="15.5" customHeight="1">
      <c r="A992" s="14" t="s">
        <v>140</v>
      </c>
      <c r="B992" s="1"/>
    </row>
    <row r="993" ht="15.5" customHeight="1">
      <c r="A993" s="14" t="s">
        <v>140</v>
      </c>
      <c r="B993" s="1"/>
    </row>
    <row r="994" ht="15.5" customHeight="1">
      <c r="A994" s="14" t="s">
        <v>140</v>
      </c>
      <c r="B994" s="1"/>
    </row>
    <row r="995" ht="15.5" customHeight="1">
      <c r="A995" s="14" t="s">
        <v>140</v>
      </c>
      <c r="B995" s="1"/>
    </row>
    <row r="996" ht="15.5" customHeight="1">
      <c r="A996" s="14" t="s">
        <v>140</v>
      </c>
      <c r="B996" s="1"/>
    </row>
    <row r="997" ht="15.5" customHeight="1">
      <c r="A997" s="14" t="s">
        <v>140</v>
      </c>
      <c r="B997" s="1"/>
    </row>
    <row r="998" ht="15.5" customHeight="1">
      <c r="A998" s="14" t="s">
        <v>140</v>
      </c>
      <c r="B998" s="1"/>
    </row>
    <row r="999" ht="15.5" customHeight="1">
      <c r="A999" s="14" t="s">
        <v>140</v>
      </c>
      <c r="B999" s="1"/>
    </row>
    <row r="1000" ht="15.5" customHeight="1">
      <c r="A1000" s="14" t="s">
        <v>140</v>
      </c>
      <c r="B1000" s="1"/>
    </row>
    <row r="1001" ht="15.5" customHeight="1">
      <c r="A1001" s="14" t="s">
        <v>140</v>
      </c>
      <c r="B1001" s="1"/>
    </row>
    <row r="1002" ht="15.5" customHeight="1">
      <c r="A1002" s="14" t="s">
        <v>140</v>
      </c>
      <c r="B1002" s="1"/>
    </row>
    <row r="1003" ht="15.5" customHeight="1">
      <c r="A1003" s="14" t="s">
        <v>140</v>
      </c>
      <c r="B1003" s="1"/>
    </row>
    <row r="1004" ht="15.5" customHeight="1">
      <c r="A1004" s="14" t="s">
        <v>140</v>
      </c>
      <c r="B1004" s="1"/>
    </row>
    <row r="1005" ht="15.5" customHeight="1">
      <c r="A1005" s="14" t="s">
        <v>140</v>
      </c>
      <c r="B1005" s="1"/>
    </row>
    <row r="1006" ht="15.5" customHeight="1">
      <c r="A1006" s="14" t="s">
        <v>140</v>
      </c>
      <c r="B1006" s="1"/>
    </row>
  </sheetData>
  <sheetProtection autoFilter="1" deleteColumns="1" deleteRows="1" formatCells="1" formatColumns="1" formatRows="1" insertColumns="1" insertHyperlinks="1" insertRows="1" pivotTables="1" selectLockedCells="1" selectUnlockedCells="0" sheet="0" sort="1"/>
  <mergeCells count="19">
    <mergeCell ref="B1:H1"/>
    <mergeCell ref="J1:Q1"/>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A4:A49"/>
  </mergeCells>
  <printOptions headings="0" gridLines="0"/>
  <pageMargins left="0.69999999999999996" right="0.69999999999999996" top="0.75" bottom="0.75" header="0.51181100000000002" footer="0.51181100000000002"/>
  <pageSetup paperSize="9" scale="100" firstPageNumber="2147483648" fitToWidth="1" fitToHeight="1" pageOrder="downThenOver" orientation="portrait" usePrinterDefaults="1" blackAndWhite="0" draft="0" cellComments="none" useFirstPageNumber="0" errors="displayed" horizontalDpi="600" verticalDpi="600" copies="1"/>
  <headerFooter>
    <oddFooter>&amp;C&amp;"Helvetica Neue,Regular"&amp;12&amp;K000000&amp;P</oddFooter>
  </headerFooter>
  <drawing r:id="rId1"/>
  <extLst>
    <ext xmlns:x14="http://schemas.microsoft.com/office/spreadsheetml/2009/9/main" uri="{78C0D931-6437-407d-A8EE-F0AAD7539E65}">
      <x14:conditionalFormattings>
        <x14:conditionalFormatting xmlns:xm="http://schemas.microsoft.com/office/excel/2006/main">
          <x14:cfRule type="cellIs" priority="20" operator="equal" stopIfTrue="1" id="{00A10028-00AC-4585-9A0D-00BB006B0083}">
            <xm:f>"FAUX"</xm:f>
            <x14:dxf>
              <fill>
                <patternFill patternType="solid">
                  <fgColor rgb="FFFF9781"/>
                  <bgColor rgb="FFFF9781"/>
                </patternFill>
              </fill>
            </x14:dxf>
          </x14:cfRule>
          <xm:sqref>K504:L974 N504:Q974 M504:M972 K503:Q503 L2:Q2 L3:P4 L5:Q502 K2:K503 O3:O4</xm:sqref>
        </x14:conditionalFormatting>
        <x14:conditionalFormatting xmlns:xm="http://schemas.microsoft.com/office/excel/2006/main">
          <x14:cfRule type="cellIs" priority="20" operator="equal" stopIfTrue="1" id="{005C007A-008D-451C-9BC1-002F002E0008}">
            <xm:f>"FAUX"</xm:f>
            <x14:dxf>
              <fill>
                <patternFill patternType="solid">
                  <fgColor rgb="FFFF9781"/>
                  <bgColor rgb="FFFF9781"/>
                </patternFill>
              </fill>
            </x14:dxf>
          </x14:cfRule>
          <xm:sqref>J3:J4</xm:sqref>
        </x14:conditionalFormatting>
        <x14:conditionalFormatting xmlns:xm="http://schemas.microsoft.com/office/excel/2006/main">
          <x14:cfRule type="cellIs" priority="18" operator="equal" id="{00BB009D-0046-4D1A-8AB1-00BF008A00B2}">
            <xm:f>FALSE</xm:f>
            <x14:dxf>
              <font>
                <color rgb="FF9C0006"/>
              </font>
              <fill>
                <patternFill patternType="solid">
                  <fgColor rgb="FFFFC7CE"/>
                  <bgColor rgb="FFFFC7CE"/>
                </patternFill>
              </fill>
            </x14:dxf>
          </x14:cfRule>
          <xm:sqref>J4</xm:sqref>
        </x14:conditionalFormatting>
        <x14:conditionalFormatting xmlns:xm="http://schemas.microsoft.com/office/excel/2006/main">
          <x14:cfRule type="cellIs" priority="18" operator="equal" id="{00A20058-00F5-451E-AD2A-00E300A100C9}">
            <xm:f>FALSE</xm:f>
            <x14:dxf>
              <font>
                <color rgb="FF9C0006"/>
              </font>
              <fill>
                <patternFill patternType="solid">
                  <fgColor rgb="FFFFC7CE"/>
                  <bgColor rgb="FFFFC7CE"/>
                </patternFill>
              </fill>
            </x14:dxf>
          </x14:cfRule>
          <xm:sqref>K4:K503</xm:sqref>
        </x14:conditionalFormatting>
        <x14:conditionalFormatting xmlns:xm="http://schemas.microsoft.com/office/excel/2006/main">
          <x14:cfRule type="cellIs" priority="17" operator="equal" id="{00C70087-0004-47BF-A61A-00DC00130060}">
            <xm:f>FALSE</xm:f>
            <x14:dxf>
              <font>
                <color rgb="FF9C0006"/>
              </font>
              <fill>
                <patternFill patternType="solid">
                  <fgColor rgb="FFFFC7CE"/>
                  <bgColor rgb="FFFFC7CE"/>
                </patternFill>
              </fill>
            </x14:dxf>
          </x14:cfRule>
          <xm:sqref>L4:L503</xm:sqref>
        </x14:conditionalFormatting>
        <x14:conditionalFormatting xmlns:xm="http://schemas.microsoft.com/office/excel/2006/main">
          <x14:cfRule type="cellIs" priority="16" operator="equal" id="{00F500AA-0065-4A43-B41F-00EB00B60032}">
            <xm:f>FALSE</xm:f>
            <x14:dxf>
              <font>
                <color rgb="FF9C0006"/>
              </font>
              <fill>
                <patternFill patternType="solid">
                  <fgColor rgb="FFFFC7CE"/>
                  <bgColor rgb="FFFFC7CE"/>
                </patternFill>
              </fill>
            </x14:dxf>
          </x14:cfRule>
          <xm:sqref>M4:P4 M5:Q503 O4</xm:sqref>
        </x14:conditionalFormatting>
        <x14:conditionalFormatting xmlns:xm="http://schemas.microsoft.com/office/excel/2006/main">
          <x14:cfRule type="cellIs" priority="15" operator="equal" id="{007900C5-003E-4CB0-AD32-00A1006A00EF}">
            <xm:f>"ERREUR"</xm:f>
            <x14:dxf>
              <font>
                <color rgb="FF9C0006"/>
              </font>
              <fill>
                <patternFill patternType="solid">
                  <fgColor rgb="FFFFC7CE"/>
                  <bgColor rgb="FFFFC7CE"/>
                </patternFill>
              </fill>
            </x14:dxf>
          </x14:cfRule>
          <xm:sqref>K6:K14</xm:sqref>
        </x14:conditionalFormatting>
        <x14:conditionalFormatting xmlns:xm="http://schemas.microsoft.com/office/excel/2006/main">
          <x14:cfRule type="cellIs" priority="14" operator="equal" id="{00FE00A0-00F6-439D-B739-009D00A800E0}">
            <xm:f>"ERREUR"</xm:f>
            <x14:dxf>
              <font>
                <color rgb="FF9C0006"/>
              </font>
              <fill>
                <patternFill patternType="solid">
                  <fgColor rgb="FFFFC7CE"/>
                  <bgColor rgb="FFFFC7CE"/>
                </patternFill>
              </fill>
            </x14:dxf>
          </x14:cfRule>
          <xm:sqref>L4</xm:sqref>
        </x14:conditionalFormatting>
        <x14:conditionalFormatting xmlns:xm="http://schemas.microsoft.com/office/excel/2006/main">
          <x14:cfRule type="cellIs" priority="13" operator="equal" id="{00B20090-006B-4880-99BD-00E4007C0009}">
            <xm:f>"ERREUR"</xm:f>
            <x14:dxf>
              <font>
                <color rgb="FF9C0006"/>
              </font>
              <fill>
                <patternFill patternType="solid">
                  <fgColor rgb="FFFFC7CE"/>
                  <bgColor rgb="FFFFC7CE"/>
                </patternFill>
              </fill>
            </x14:dxf>
          </x14:cfRule>
          <xm:sqref>L5:L503</xm:sqref>
        </x14:conditionalFormatting>
        <x14:conditionalFormatting xmlns:xm="http://schemas.microsoft.com/office/excel/2006/main">
          <x14:cfRule type="cellIs" priority="12" operator="equal" id="{00D10059-00AB-4EE1-9728-0000007C0021}">
            <xm:f>"ERREUR"</xm:f>
            <x14:dxf>
              <font>
                <color rgb="FF9C0006"/>
              </font>
              <fill>
                <patternFill patternType="solid">
                  <fgColor rgb="FFFFC7CE"/>
                  <bgColor rgb="FFFFC7CE"/>
                </patternFill>
              </fill>
            </x14:dxf>
          </x14:cfRule>
          <xm:sqref>M5:M503</xm:sqref>
        </x14:conditionalFormatting>
        <x14:conditionalFormatting xmlns:xm="http://schemas.microsoft.com/office/excel/2006/main">
          <x14:cfRule type="cellIs" priority="11" operator="equal" id="{0019003E-009F-4839-856C-00DA00FA0015}">
            <xm:f>"ERREUR"</xm:f>
            <x14:dxf>
              <font>
                <color rgb="FF9C0006"/>
              </font>
              <fill>
                <patternFill patternType="solid">
                  <fgColor rgb="FFFFC7CE"/>
                  <bgColor rgb="FFFFC7CE"/>
                </patternFill>
              </fill>
            </x14:dxf>
          </x14:cfRule>
          <xm:sqref>M6:M17</xm:sqref>
        </x14:conditionalFormatting>
        <x14:conditionalFormatting xmlns:xm="http://schemas.microsoft.com/office/excel/2006/main">
          <x14:cfRule type="cellIs" priority="10" operator="equal" id="{00DB00E3-00B8-42D2-BC2E-001700DC0047}">
            <xm:f>"ERREUR"</xm:f>
            <x14:dxf>
              <font>
                <color rgb="FF9C0006"/>
              </font>
              <fill>
                <patternFill patternType="solid">
                  <fgColor rgb="FFFFC7CE"/>
                  <bgColor rgb="FFFFC7CE"/>
                </patternFill>
              </fill>
            </x14:dxf>
          </x14:cfRule>
          <xm:sqref>N5:N503</xm:sqref>
        </x14:conditionalFormatting>
        <x14:conditionalFormatting xmlns:xm="http://schemas.microsoft.com/office/excel/2006/main">
          <x14:cfRule type="cellIs" priority="9" operator="equal" id="{00530067-0035-4332-AC8F-00A400C70034}">
            <xm:f>"ERREUR"</xm:f>
            <x14:dxf>
              <font>
                <color rgb="FF9C0006"/>
              </font>
              <fill>
                <patternFill patternType="solid">
                  <fgColor rgb="FFFFC7CE"/>
                  <bgColor rgb="FFFFC7CE"/>
                </patternFill>
              </fill>
            </x14:dxf>
          </x14:cfRule>
          <xm:sqref>O5:O503</xm:sqref>
        </x14:conditionalFormatting>
        <x14:conditionalFormatting xmlns:xm="http://schemas.microsoft.com/office/excel/2006/main">
          <x14:cfRule type="cellIs" priority="8" operator="equal" id="{00280063-0010-4313-BC56-00B7006800B1}">
            <xm:f>"ERREUR"</xm:f>
            <x14:dxf>
              <font>
                <color rgb="FF9C0006"/>
              </font>
              <fill>
                <patternFill patternType="solid">
                  <fgColor rgb="FFFFC7CE"/>
                  <bgColor rgb="FFFFC7CE"/>
                </patternFill>
              </fill>
            </x14:dxf>
          </x14:cfRule>
          <xm:sqref>P5:P503</xm:sqref>
        </x14:conditionalFormatting>
        <x14:conditionalFormatting xmlns:xm="http://schemas.microsoft.com/office/excel/2006/main">
          <x14:cfRule type="cellIs" priority="7" operator="equal" id="{0025005C-002B-49DD-917F-00ED003E000A}">
            <xm:f>"ERREUR"</xm:f>
            <x14:dxf>
              <font>
                <color rgb="FF9C0006"/>
              </font>
              <fill>
                <patternFill patternType="solid">
                  <fgColor rgb="FFFFC7CE"/>
                  <bgColor rgb="FFFFC7CE"/>
                </patternFill>
              </fill>
            </x14:dxf>
          </x14:cfRule>
          <xm:sqref>Q5:Q503</xm:sqref>
        </x14:conditionalFormatting>
        <x14:conditionalFormatting xmlns:xm="http://schemas.microsoft.com/office/excel/2006/main">
          <x14:cfRule type="cellIs" priority="6" operator="equal" id="{006000B5-00ED-4E2C-8F09-000A00740007}">
            <xm:f>"ERREUR"</xm:f>
            <x14:dxf>
              <font>
                <color rgb="FF9C0006"/>
              </font>
              <fill>
                <patternFill patternType="solid">
                  <fgColor rgb="FFFFC7CE"/>
                  <bgColor rgb="FFFFC7CE"/>
                </patternFill>
              </fill>
            </x14:dxf>
          </x14:cfRule>
          <xm:sqref>K5:K503</xm:sqref>
        </x14:conditionalFormatting>
        <x14:conditionalFormatting xmlns:xm="http://schemas.microsoft.com/office/excel/2006/main">
          <x14:cfRule type="cellIs" priority="5" operator="equal" id="{003F0039-007D-498E-8E57-0015005900B4}">
            <xm:f>"ERREUR"</xm:f>
            <x14:dxf>
              <font>
                <color rgb="FF9C0006"/>
              </font>
              <fill>
                <patternFill patternType="solid">
                  <fgColor rgb="FFFFC7CE"/>
                  <bgColor rgb="FFFFC7CE"/>
                </patternFill>
              </fill>
            </x14:dxf>
          </x14:cfRule>
          <xm:sqref>K5:K503</xm:sqref>
        </x14:conditionalFormatting>
        <x14:conditionalFormatting xmlns:xm="http://schemas.microsoft.com/office/excel/2006/main">
          <x14:cfRule type="cellIs" priority="4" operator="equal" id="{000A0020-0035-4D00-8C73-00D200F000E5}">
            <xm:f>"ERREUR"</xm:f>
            <x14:dxf>
              <font>
                <color rgb="FF9C0006"/>
              </font>
              <fill>
                <patternFill patternType="solid">
                  <fgColor rgb="FFFFC7CE"/>
                  <bgColor rgb="FFFFC7CE"/>
                </patternFill>
              </fill>
            </x14:dxf>
          </x14:cfRule>
          <xm:sqref>J5:J503</xm:sqref>
        </x14:conditionalFormatting>
        <x14:conditionalFormatting xmlns:xm="http://schemas.microsoft.com/office/excel/2006/main">
          <x14:cfRule type="cellIs" priority="3" operator="equal" id="{00400076-00AA-4638-847F-004E000D0073}">
            <xm:f>"ligne vide"</xm:f>
            <x14:dxf>
              <font>
                <b val="0"/>
                <i val="0"/>
                <color theme="9"/>
              </font>
              <fill>
                <patternFill patternType="solid">
                  <fgColor theme="9" tint="0.79998168889431442"/>
                  <bgColor theme="9" tint="0.79998168889431442"/>
                </patternFill>
              </fill>
            </x14:dxf>
          </x14:cfRule>
          <xm:sqref>J5:J503</xm:sqref>
        </x14:conditionalFormatting>
        <x14:conditionalFormatting xmlns:xm="http://schemas.microsoft.com/office/excel/2006/main">
          <x14:cfRule type="cellIs" priority="2" operator="equal" id="{002100AB-00CE-486D-AED7-00190080001E}">
            <xm:f>"ligne incomplète"</xm:f>
            <x14:dxf>
              <font>
                <color rgb="FF9C0006"/>
              </font>
              <fill>
                <patternFill patternType="solid">
                  <fgColor rgb="FFFFC7CE"/>
                  <bgColor rgb="FFFFC7CE"/>
                </patternFill>
              </fill>
            </x14:dxf>
          </x14:cfRule>
          <xm:sqref>J5:J503</xm:sqref>
        </x14:conditionalFormatting>
        <x14:conditionalFormatting xmlns:xm="http://schemas.microsoft.com/office/excel/2006/main">
          <x14:cfRule type="cellIs" priority="1" operator="equal" stopIfTrue="1" id="{002200F6-0040-4C3D-9CAD-000700C00028}">
            <xm:f>"FAUX"</xm:f>
            <x14:dxf>
              <fill>
                <patternFill patternType="solid">
                  <fgColor rgb="FFFF9781"/>
                  <bgColor rgb="FFFF9781"/>
                </patternFill>
              </fill>
            </x14:dxf>
          </x14:cfRule>
          <xm:sqref>J1</xm:sqref>
        </x14:conditionalFormatting>
      </x14:conditionalFormattings>
    </ext>
    <ext xmlns:x14="http://schemas.microsoft.com/office/spreadsheetml/2009/9/main" uri="{CCE6A557-97BC-4b89-ADB6-D9C93CAAB3DF}">
      <x14:dataValidations xmlns:xm="http://schemas.microsoft.com/office/excel/2006/main" count="7" disablePrompts="0">
        <x14:dataValidation xr:uid="{0071003A-003A-45FD-B356-001A00C80030}" type="date" allowBlank="1" errorStyle="stop" imeMode="noControl" operator="greaterThan" showDropDown="0" showErrorMessage="1" showInputMessage="1">
          <x14:formula1>
            <xm:f>36526</xm:f>
          </x14:formula1>
          <xm:sqref>B6:B503</xm:sqref>
        </x14:dataValidation>
        <x14:dataValidation xr:uid="{005100C0-0038-4133-9D94-00C200880047}" type="list" allowBlank="1" errorStyle="stop" imeMode="noControl" operator="between" showDropDown="0" showErrorMessage="1" showInputMessage="1">
          <x14:formula1>
            <xm:f>$S$4:$S$6</xm:f>
          </x14:formula1>
          <xm:sqref>C5:C503</xm:sqref>
        </x14:dataValidation>
        <x14:dataValidation xr:uid="{00D00046-0047-44A8-9539-009C00D900B8}" type="list" allowBlank="1" errorStyle="stop" imeMode="noControl" operator="between" showDropDown="0" showErrorMessage="1" showInputMessage="1">
          <x14:formula1>
            <xm:f>$U$4:$U$240</xm:f>
          </x14:formula1>
          <xm:sqref>D5:D503</xm:sqref>
        </x14:dataValidation>
        <x14:dataValidation xr:uid="{00BD0067-007C-498D-880F-0086004D0007}" type="list" allowBlank="1" errorStyle="stop" imeMode="noControl" operator="between" showDropDown="0" showErrorMessage="1" showInputMessage="1">
          <x14:formula1>
            <xm:f>$W$4:$W$6</xm:f>
          </x14:formula1>
          <xm:sqref>E5:E503</xm:sqref>
        </x14:dataValidation>
        <x14:dataValidation xr:uid="{000400B3-0027-47BC-9DD2-00ED00820044}" type="list" allowBlank="1" errorStyle="stop" imeMode="noControl" operator="between" showDropDown="0" showErrorMessage="1" showInputMessage="1">
          <x14:formula1>
            <xm:f>$X$4:$X$5</xm:f>
          </x14:formula1>
          <xm:sqref>F5:F503</xm:sqref>
        </x14:dataValidation>
        <x14:dataValidation xr:uid="{00650034-0044-47AD-B858-0084007500B0}" type="list" allowBlank="1" errorStyle="stop" imeMode="noControl" operator="between" showDropDown="0" showErrorMessage="1" showInputMessage="1">
          <x14:formula1>
            <xm:f>$Y$4:$Y$8</xm:f>
          </x14:formula1>
          <xm:sqref>G5:G503</xm:sqref>
        </x14:dataValidation>
        <x14:dataValidation xr:uid="{001F0095-00D0-4317-B6DF-008A00D0001D}" type="whole" allowBlank="1" errorStyle="stop" imeMode="noControl" operator="lessThan" showDropDown="0" showErrorMessage="1" showInputMessage="1">
          <x14:formula1>
            <xm:f>15300</xm:f>
          </x14:formula1>
          <xm:sqref>H5:H503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63.7109375"/>
  </cols>
  <sheetData>
    <row r="1" ht="14.25">
      <c r="A1" t="s">
        <v>523</v>
      </c>
    </row>
    <row r="2" ht="14.25">
      <c r="A2" s="60" t="s">
        <v>524</v>
      </c>
    </row>
    <row r="3" ht="14.25">
      <c r="A3" s="61" t="s">
        <v>37</v>
      </c>
    </row>
    <row r="4" ht="14.25">
      <c r="A4" s="62" t="s">
        <v>43</v>
      </c>
    </row>
    <row r="5" ht="14.25">
      <c r="A5" s="62" t="s">
        <v>49</v>
      </c>
    </row>
    <row r="6" ht="14.25">
      <c r="A6" s="62" t="s">
        <v>53</v>
      </c>
    </row>
    <row r="7" ht="14.25">
      <c r="A7" s="62" t="s">
        <v>56</v>
      </c>
    </row>
    <row r="8" ht="14.25">
      <c r="A8" s="62" t="s">
        <v>59</v>
      </c>
    </row>
    <row r="9" ht="14.25">
      <c r="A9" s="62" t="s">
        <v>61</v>
      </c>
    </row>
    <row r="10" ht="14.25">
      <c r="A10" s="62" t="s">
        <v>63</v>
      </c>
    </row>
    <row r="11" ht="14.25">
      <c r="A11" s="62" t="s">
        <v>65</v>
      </c>
    </row>
    <row r="12" ht="14.25">
      <c r="A12" s="62" t="s">
        <v>67</v>
      </c>
    </row>
    <row r="13" ht="14.25">
      <c r="A13" s="62" t="s">
        <v>69</v>
      </c>
    </row>
    <row r="14" ht="14.25">
      <c r="A14" s="62" t="s">
        <v>71</v>
      </c>
    </row>
    <row r="15" ht="14.25">
      <c r="A15" s="62" t="s">
        <v>73</v>
      </c>
    </row>
    <row r="16" ht="14.25">
      <c r="A16" s="62" t="s">
        <v>75</v>
      </c>
    </row>
    <row r="17" ht="14.25">
      <c r="A17" s="62" t="s">
        <v>77</v>
      </c>
    </row>
    <row r="18" ht="14.25">
      <c r="A18" s="62" t="s">
        <v>79</v>
      </c>
    </row>
    <row r="19" ht="14.25">
      <c r="A19" s="62" t="s">
        <v>81</v>
      </c>
    </row>
    <row r="20" ht="14.25">
      <c r="A20" s="62" t="s">
        <v>83</v>
      </c>
    </row>
    <row r="21" ht="14.25">
      <c r="A21" s="62" t="s">
        <v>85</v>
      </c>
    </row>
    <row r="22" ht="14.25">
      <c r="A22" s="62" t="s">
        <v>87</v>
      </c>
    </row>
    <row r="23" ht="14.25">
      <c r="A23" s="62" t="s">
        <v>89</v>
      </c>
    </row>
    <row r="24" ht="14.25">
      <c r="A24" s="62" t="s">
        <v>91</v>
      </c>
    </row>
    <row r="25" ht="14.25">
      <c r="A25" s="62" t="s">
        <v>93</v>
      </c>
    </row>
    <row r="26" ht="14.25">
      <c r="A26" s="62" t="s">
        <v>95</v>
      </c>
    </row>
    <row r="27" ht="14.25">
      <c r="A27" s="62" t="s">
        <v>97</v>
      </c>
    </row>
    <row r="28" ht="14.25">
      <c r="A28" s="62" t="s">
        <v>99</v>
      </c>
    </row>
    <row r="29" ht="14.25">
      <c r="A29" s="62" t="s">
        <v>101</v>
      </c>
    </row>
    <row r="30" ht="14.25">
      <c r="A30" s="62" t="s">
        <v>103</v>
      </c>
    </row>
    <row r="31" ht="14.25">
      <c r="A31" s="62" t="s">
        <v>105</v>
      </c>
    </row>
    <row r="32" ht="14.25">
      <c r="A32" s="62" t="s">
        <v>107</v>
      </c>
    </row>
    <row r="33" ht="14.25">
      <c r="A33" s="62" t="s">
        <v>109</v>
      </c>
    </row>
    <row r="34" ht="14.25">
      <c r="A34" s="62" t="s">
        <v>111</v>
      </c>
    </row>
    <row r="35" ht="14.25">
      <c r="A35" s="62" t="s">
        <v>113</v>
      </c>
    </row>
    <row r="36" ht="14.25">
      <c r="A36" s="62" t="s">
        <v>115</v>
      </c>
    </row>
    <row r="37" ht="14.25">
      <c r="A37" s="62" t="s">
        <v>117</v>
      </c>
    </row>
    <row r="38" ht="14.25">
      <c r="A38" s="62" t="s">
        <v>119</v>
      </c>
    </row>
    <row r="39" ht="14.25">
      <c r="A39" s="62" t="s">
        <v>121</v>
      </c>
    </row>
    <row r="40" ht="14.25">
      <c r="A40" s="62" t="s">
        <v>123</v>
      </c>
    </row>
    <row r="41" ht="14.25">
      <c r="A41" s="62" t="s">
        <v>125</v>
      </c>
    </row>
    <row r="42" ht="14.25">
      <c r="A42" s="62" t="s">
        <v>127</v>
      </c>
    </row>
    <row r="43" ht="14.25">
      <c r="A43" s="62" t="s">
        <v>129</v>
      </c>
    </row>
    <row r="44" ht="14.25">
      <c r="A44" s="62" t="s">
        <v>131</v>
      </c>
    </row>
    <row r="45" ht="14.25">
      <c r="A45" s="62" t="s">
        <v>133</v>
      </c>
    </row>
    <row r="46" ht="14.25">
      <c r="A46" s="62" t="s">
        <v>135</v>
      </c>
    </row>
    <row r="47" ht="14.25">
      <c r="A47" s="62" t="s">
        <v>137</v>
      </c>
    </row>
    <row r="48" ht="14.25">
      <c r="A48" s="62" t="s">
        <v>139</v>
      </c>
    </row>
    <row r="49" ht="14.25">
      <c r="A49" s="62" t="s">
        <v>142</v>
      </c>
    </row>
    <row r="50" ht="14.25">
      <c r="A50" s="62" t="s">
        <v>144</v>
      </c>
    </row>
    <row r="51" ht="14.25">
      <c r="A51" s="62" t="s">
        <v>146</v>
      </c>
    </row>
    <row r="52" ht="14.25">
      <c r="A52" s="62" t="s">
        <v>148</v>
      </c>
    </row>
    <row r="53" ht="14.25">
      <c r="A53" s="62" t="s">
        <v>150</v>
      </c>
    </row>
    <row r="54" ht="14.25">
      <c r="A54" s="62" t="s">
        <v>152</v>
      </c>
    </row>
    <row r="55" ht="14.25">
      <c r="A55" s="62" t="s">
        <v>154</v>
      </c>
    </row>
    <row r="56" ht="14.25">
      <c r="A56" s="62" t="s">
        <v>156</v>
      </c>
    </row>
    <row r="57" ht="14.25">
      <c r="A57" s="62" t="s">
        <v>158</v>
      </c>
    </row>
    <row r="58" ht="14.25">
      <c r="A58" s="62" t="s">
        <v>160</v>
      </c>
    </row>
    <row r="59" ht="14.25">
      <c r="A59" s="62" t="s">
        <v>162</v>
      </c>
    </row>
    <row r="60" ht="14.25">
      <c r="A60" s="62" t="s">
        <v>164</v>
      </c>
    </row>
    <row r="61" ht="14.25">
      <c r="A61" s="62" t="s">
        <v>166</v>
      </c>
    </row>
    <row r="62" ht="14.25">
      <c r="A62" s="62" t="s">
        <v>168</v>
      </c>
    </row>
    <row r="63" ht="14.25">
      <c r="A63" s="62" t="s">
        <v>170</v>
      </c>
    </row>
    <row r="64" ht="14.25">
      <c r="A64" s="62" t="s">
        <v>172</v>
      </c>
    </row>
    <row r="65" ht="14.25">
      <c r="A65" s="62" t="s">
        <v>174</v>
      </c>
    </row>
    <row r="66" ht="14.25">
      <c r="A66" s="62" t="s">
        <v>176</v>
      </c>
    </row>
    <row r="67" ht="14.25">
      <c r="A67" s="62" t="s">
        <v>178</v>
      </c>
    </row>
    <row r="68" ht="14.25">
      <c r="A68" s="62" t="s">
        <v>180</v>
      </c>
    </row>
    <row r="69" ht="14.25">
      <c r="A69" s="62" t="s">
        <v>182</v>
      </c>
    </row>
    <row r="70" ht="14.25">
      <c r="A70" s="62" t="s">
        <v>184</v>
      </c>
    </row>
    <row r="71" ht="14.25">
      <c r="A71" s="62" t="s">
        <v>186</v>
      </c>
    </row>
    <row r="72" ht="14.25">
      <c r="A72" s="62" t="s">
        <v>188</v>
      </c>
    </row>
    <row r="73" ht="14.25">
      <c r="A73" s="62" t="s">
        <v>190</v>
      </c>
    </row>
    <row r="74" ht="14.25">
      <c r="A74" s="62" t="s">
        <v>192</v>
      </c>
    </row>
    <row r="75" ht="14.25">
      <c r="A75" s="62" t="s">
        <v>194</v>
      </c>
    </row>
    <row r="76" ht="14.25">
      <c r="A76" s="62" t="s">
        <v>196</v>
      </c>
    </row>
    <row r="77" ht="14.25">
      <c r="A77" s="62" t="s">
        <v>198</v>
      </c>
    </row>
    <row r="78" ht="14.25">
      <c r="A78" s="62" t="s">
        <v>200</v>
      </c>
    </row>
    <row r="79" ht="14.25">
      <c r="A79" s="62" t="s">
        <v>202</v>
      </c>
    </row>
    <row r="80" ht="14.25">
      <c r="A80" s="62" t="s">
        <v>204</v>
      </c>
    </row>
    <row r="81" ht="14.25">
      <c r="A81" s="62" t="s">
        <v>206</v>
      </c>
    </row>
    <row r="82" ht="14.25">
      <c r="A82" s="62" t="s">
        <v>208</v>
      </c>
    </row>
    <row r="83" ht="14.25">
      <c r="A83" s="62" t="s">
        <v>210</v>
      </c>
    </row>
    <row r="84" ht="14.25">
      <c r="A84" s="62" t="s">
        <v>212</v>
      </c>
    </row>
    <row r="85" ht="14.25">
      <c r="A85" s="62" t="s">
        <v>214</v>
      </c>
    </row>
    <row r="86" ht="14.25">
      <c r="A86" s="62" t="s">
        <v>216</v>
      </c>
    </row>
    <row r="87" ht="14.25">
      <c r="A87" s="62" t="s">
        <v>218</v>
      </c>
    </row>
    <row r="88" ht="14.25">
      <c r="A88" s="62" t="s">
        <v>220</v>
      </c>
    </row>
    <row r="89" ht="14.25">
      <c r="A89" s="62" t="s">
        <v>222</v>
      </c>
    </row>
    <row r="90" ht="14.25">
      <c r="A90" s="62" t="s">
        <v>224</v>
      </c>
    </row>
    <row r="91" ht="14.25">
      <c r="A91" s="62" t="s">
        <v>226</v>
      </c>
    </row>
    <row r="92" ht="14.25">
      <c r="A92" s="62" t="s">
        <v>228</v>
      </c>
    </row>
    <row r="93" ht="14.25">
      <c r="A93" s="62" t="s">
        <v>230</v>
      </c>
    </row>
    <row r="94" ht="14.25">
      <c r="A94" s="62" t="s">
        <v>232</v>
      </c>
    </row>
    <row r="95" ht="14.25">
      <c r="A95" s="62" t="s">
        <v>234</v>
      </c>
    </row>
    <row r="96" ht="14.25">
      <c r="A96" s="62" t="s">
        <v>236</v>
      </c>
    </row>
    <row r="97" ht="14.25">
      <c r="A97" s="62" t="s">
        <v>238</v>
      </c>
    </row>
    <row r="98" ht="14.25">
      <c r="A98" s="62" t="s">
        <v>240</v>
      </c>
    </row>
    <row r="99" ht="14.25">
      <c r="A99" s="62" t="s">
        <v>242</v>
      </c>
    </row>
    <row r="100" ht="14.25">
      <c r="A100" s="62" t="s">
        <v>244</v>
      </c>
    </row>
    <row r="101" ht="14.25">
      <c r="A101" s="62" t="s">
        <v>246</v>
      </c>
    </row>
    <row r="102" ht="14.25">
      <c r="A102" s="62" t="s">
        <v>248</v>
      </c>
    </row>
    <row r="103" ht="14.25">
      <c r="A103" s="62" t="s">
        <v>250</v>
      </c>
    </row>
    <row r="104" ht="14.25">
      <c r="A104" s="62" t="s">
        <v>252</v>
      </c>
    </row>
    <row r="105" ht="14.25">
      <c r="A105" s="62" t="s">
        <v>254</v>
      </c>
    </row>
    <row r="106" ht="14.25">
      <c r="A106" s="62" t="s">
        <v>256</v>
      </c>
    </row>
    <row r="107" ht="14.25">
      <c r="A107" s="62" t="s">
        <v>258</v>
      </c>
    </row>
    <row r="108" ht="14.25">
      <c r="A108" s="62" t="s">
        <v>260</v>
      </c>
    </row>
    <row r="109" ht="14.25">
      <c r="A109" s="62" t="s">
        <v>262</v>
      </c>
    </row>
    <row r="110" ht="14.25">
      <c r="A110" s="62" t="s">
        <v>264</v>
      </c>
    </row>
    <row r="111" ht="14.25">
      <c r="A111" s="62" t="s">
        <v>266</v>
      </c>
    </row>
    <row r="112" ht="14.25">
      <c r="A112" s="62" t="s">
        <v>268</v>
      </c>
    </row>
    <row r="113" ht="14.25">
      <c r="A113" s="62" t="s">
        <v>270</v>
      </c>
    </row>
    <row r="114" ht="14.25">
      <c r="A114" s="62" t="s">
        <v>272</v>
      </c>
    </row>
    <row r="115" ht="14.25">
      <c r="A115" s="62" t="s">
        <v>274</v>
      </c>
    </row>
    <row r="116" ht="14.25">
      <c r="A116" s="62" t="s">
        <v>276</v>
      </c>
    </row>
    <row r="117" ht="14.25">
      <c r="A117" s="62" t="s">
        <v>278</v>
      </c>
    </row>
    <row r="118" ht="14.25">
      <c r="A118" s="62" t="s">
        <v>280</v>
      </c>
    </row>
    <row r="119" ht="14.25">
      <c r="A119" s="62" t="s">
        <v>282</v>
      </c>
    </row>
    <row r="120" ht="14.25">
      <c r="A120" s="62" t="s">
        <v>284</v>
      </c>
    </row>
    <row r="121" ht="14.25">
      <c r="A121" s="62" t="s">
        <v>286</v>
      </c>
    </row>
    <row r="122" ht="14.25">
      <c r="A122" s="62" t="s">
        <v>288</v>
      </c>
    </row>
    <row r="123" ht="14.25">
      <c r="A123" s="62" t="s">
        <v>290</v>
      </c>
    </row>
    <row r="124" ht="14.25">
      <c r="A124" s="62" t="s">
        <v>292</v>
      </c>
    </row>
    <row r="125" ht="14.25">
      <c r="A125" s="62" t="s">
        <v>294</v>
      </c>
    </row>
    <row r="126" ht="14.25">
      <c r="A126" s="62" t="s">
        <v>296</v>
      </c>
    </row>
    <row r="127" ht="14.25">
      <c r="A127" s="62" t="s">
        <v>298</v>
      </c>
    </row>
    <row r="128" ht="14.25">
      <c r="A128" s="62" t="s">
        <v>300</v>
      </c>
    </row>
    <row r="129" ht="14.25">
      <c r="A129" s="62" t="s">
        <v>302</v>
      </c>
    </row>
    <row r="130" ht="14.25">
      <c r="A130" s="62" t="s">
        <v>304</v>
      </c>
    </row>
    <row r="131" ht="14.25">
      <c r="A131" s="62" t="s">
        <v>306</v>
      </c>
    </row>
    <row r="132" ht="14.25">
      <c r="A132" s="62" t="s">
        <v>308</v>
      </c>
    </row>
    <row r="133" ht="14.25">
      <c r="A133" s="62" t="s">
        <v>310</v>
      </c>
    </row>
    <row r="134" ht="14.25">
      <c r="A134" s="62" t="s">
        <v>312</v>
      </c>
    </row>
    <row r="135" ht="14.25">
      <c r="A135" s="62" t="s">
        <v>314</v>
      </c>
    </row>
    <row r="136" ht="14.25">
      <c r="A136" s="62" t="s">
        <v>316</v>
      </c>
    </row>
    <row r="137" ht="14.25">
      <c r="A137" s="62" t="s">
        <v>318</v>
      </c>
    </row>
    <row r="138" ht="14.25">
      <c r="A138" s="62" t="s">
        <v>320</v>
      </c>
    </row>
    <row r="139" ht="14.25">
      <c r="A139" s="62" t="s">
        <v>322</v>
      </c>
    </row>
    <row r="140" ht="14.25">
      <c r="A140" s="62" t="s">
        <v>324</v>
      </c>
    </row>
    <row r="141" ht="14.25">
      <c r="A141" s="62" t="s">
        <v>326</v>
      </c>
    </row>
    <row r="142" ht="14.25">
      <c r="A142" s="62" t="s">
        <v>328</v>
      </c>
    </row>
    <row r="143" ht="14.25">
      <c r="A143" s="62" t="s">
        <v>330</v>
      </c>
    </row>
    <row r="144" ht="14.25">
      <c r="A144" s="62" t="s">
        <v>332</v>
      </c>
    </row>
    <row r="145" ht="14.25">
      <c r="A145" s="62" t="s">
        <v>334</v>
      </c>
    </row>
    <row r="146" ht="14.25">
      <c r="A146" s="62" t="s">
        <v>336</v>
      </c>
    </row>
    <row r="147" ht="14.25">
      <c r="A147" s="62" t="s">
        <v>338</v>
      </c>
    </row>
    <row r="148" ht="14.25">
      <c r="A148" s="62" t="s">
        <v>340</v>
      </c>
    </row>
    <row r="149" ht="14.25">
      <c r="A149" s="62" t="s">
        <v>342</v>
      </c>
    </row>
    <row r="150" ht="14.25">
      <c r="A150" s="62" t="s">
        <v>344</v>
      </c>
    </row>
    <row r="151" ht="14.25">
      <c r="A151" s="62" t="s">
        <v>346</v>
      </c>
    </row>
    <row r="152" ht="14.25">
      <c r="A152" s="62" t="s">
        <v>348</v>
      </c>
    </row>
    <row r="153" ht="14.25">
      <c r="A153" s="62" t="s">
        <v>350</v>
      </c>
    </row>
    <row r="154" ht="14.25">
      <c r="A154" s="62" t="s">
        <v>352</v>
      </c>
    </row>
    <row r="155" ht="14.25">
      <c r="A155" s="62" t="s">
        <v>354</v>
      </c>
    </row>
    <row r="156" ht="14.25">
      <c r="A156" s="62" t="s">
        <v>356</v>
      </c>
    </row>
    <row r="157" ht="14.25">
      <c r="A157" s="62" t="s">
        <v>358</v>
      </c>
    </row>
    <row r="158" ht="14.25">
      <c r="A158" s="62" t="s">
        <v>360</v>
      </c>
    </row>
    <row r="159" ht="14.25">
      <c r="A159" s="62" t="s">
        <v>362</v>
      </c>
    </row>
    <row r="160" ht="14.25">
      <c r="A160" s="62" t="s">
        <v>364</v>
      </c>
    </row>
    <row r="161" ht="14.25">
      <c r="A161" s="62" t="s">
        <v>366</v>
      </c>
    </row>
    <row r="162" ht="14.25">
      <c r="A162" s="62" t="s">
        <v>368</v>
      </c>
    </row>
    <row r="163" ht="14.25">
      <c r="A163" s="62" t="s">
        <v>370</v>
      </c>
    </row>
    <row r="164" ht="14.25">
      <c r="A164" s="62" t="s">
        <v>372</v>
      </c>
    </row>
    <row r="165" ht="14.25">
      <c r="A165" s="62" t="s">
        <v>374</v>
      </c>
    </row>
    <row r="166" ht="14.25">
      <c r="A166" s="62" t="s">
        <v>376</v>
      </c>
    </row>
    <row r="167" ht="14.25">
      <c r="A167" s="62" t="s">
        <v>378</v>
      </c>
    </row>
    <row r="168" ht="14.25">
      <c r="A168" s="62" t="s">
        <v>380</v>
      </c>
    </row>
    <row r="169" ht="14.25">
      <c r="A169" s="62" t="s">
        <v>382</v>
      </c>
    </row>
    <row r="170" ht="14.25">
      <c r="A170" s="62" t="s">
        <v>384</v>
      </c>
    </row>
    <row r="171" ht="14.25">
      <c r="A171" s="62" t="s">
        <v>386</v>
      </c>
    </row>
    <row r="172" ht="14.25">
      <c r="A172" s="62" t="s">
        <v>388</v>
      </c>
    </row>
    <row r="173" ht="14.25">
      <c r="A173" s="62" t="s">
        <v>390</v>
      </c>
    </row>
    <row r="174" ht="14.25">
      <c r="A174" s="62" t="s">
        <v>392</v>
      </c>
    </row>
    <row r="175" ht="14.25">
      <c r="A175" s="62" t="s">
        <v>394</v>
      </c>
    </row>
    <row r="176" ht="14.25">
      <c r="A176" s="62" t="s">
        <v>396</v>
      </c>
    </row>
    <row r="177" ht="14.25">
      <c r="A177" s="62" t="s">
        <v>398</v>
      </c>
    </row>
    <row r="178" ht="14.25">
      <c r="A178" s="62" t="s">
        <v>400</v>
      </c>
    </row>
    <row r="179" ht="14.25">
      <c r="A179" s="62" t="s">
        <v>402</v>
      </c>
    </row>
    <row r="180" ht="14.25">
      <c r="A180" s="62" t="s">
        <v>404</v>
      </c>
    </row>
    <row r="181" ht="14.25">
      <c r="A181" s="62" t="s">
        <v>406</v>
      </c>
    </row>
    <row r="182" ht="14.25">
      <c r="A182" s="62" t="s">
        <v>408</v>
      </c>
    </row>
    <row r="183" ht="14.25">
      <c r="A183" s="62" t="s">
        <v>410</v>
      </c>
    </row>
    <row r="184" ht="14.25">
      <c r="A184" s="62" t="s">
        <v>412</v>
      </c>
    </row>
    <row r="185" ht="14.25">
      <c r="A185" s="62" t="s">
        <v>414</v>
      </c>
    </row>
    <row r="186" ht="14.25">
      <c r="A186" s="62" t="s">
        <v>416</v>
      </c>
    </row>
    <row r="187" ht="14.25">
      <c r="A187" s="62" t="s">
        <v>418</v>
      </c>
    </row>
    <row r="188" ht="14.25">
      <c r="A188" s="62" t="s">
        <v>420</v>
      </c>
    </row>
    <row r="189" ht="14.25">
      <c r="A189" s="62" t="s">
        <v>422</v>
      </c>
    </row>
    <row r="190" ht="14.25">
      <c r="A190" s="62" t="s">
        <v>424</v>
      </c>
    </row>
    <row r="191" ht="14.25">
      <c r="A191" s="62" t="s">
        <v>426</v>
      </c>
    </row>
    <row r="192" ht="14.25">
      <c r="A192" s="62" t="s">
        <v>428</v>
      </c>
    </row>
    <row r="193" ht="14.25">
      <c r="A193" s="62" t="s">
        <v>430</v>
      </c>
    </row>
    <row r="194" ht="14.25">
      <c r="A194" s="62" t="s">
        <v>432</v>
      </c>
    </row>
    <row r="195" ht="14.25">
      <c r="A195" s="62" t="s">
        <v>434</v>
      </c>
    </row>
    <row r="196" ht="14.25">
      <c r="A196" s="62" t="s">
        <v>436</v>
      </c>
    </row>
    <row r="197" ht="14.25">
      <c r="A197" s="62" t="s">
        <v>438</v>
      </c>
    </row>
    <row r="198" ht="14.25">
      <c r="A198" s="62" t="s">
        <v>440</v>
      </c>
    </row>
    <row r="199" ht="14.25">
      <c r="A199" s="62" t="s">
        <v>442</v>
      </c>
    </row>
    <row r="200" ht="14.25">
      <c r="A200" s="62" t="s">
        <v>444</v>
      </c>
    </row>
    <row r="201" ht="14.25">
      <c r="A201" s="62" t="s">
        <v>446</v>
      </c>
    </row>
    <row r="202" ht="14.25">
      <c r="A202" s="62" t="s">
        <v>448</v>
      </c>
    </row>
    <row r="203" ht="14.25">
      <c r="A203" s="62" t="s">
        <v>450</v>
      </c>
    </row>
    <row r="204" ht="14.25">
      <c r="A204" s="62" t="s">
        <v>452</v>
      </c>
    </row>
    <row r="205" ht="14.25">
      <c r="A205" s="62" t="s">
        <v>454</v>
      </c>
    </row>
    <row r="206" ht="14.25">
      <c r="A206" s="62" t="s">
        <v>456</v>
      </c>
    </row>
    <row r="207" ht="14.25">
      <c r="A207" s="62" t="s">
        <v>458</v>
      </c>
    </row>
    <row r="208" ht="14.25">
      <c r="A208" s="62" t="s">
        <v>460</v>
      </c>
    </row>
    <row r="209" ht="14.25">
      <c r="A209" s="62" t="s">
        <v>462</v>
      </c>
    </row>
    <row r="210" ht="14.25">
      <c r="A210" s="62" t="s">
        <v>464</v>
      </c>
    </row>
    <row r="211" ht="14.25">
      <c r="A211" s="62" t="s">
        <v>466</v>
      </c>
    </row>
    <row r="212" ht="14.25">
      <c r="A212" s="62" t="s">
        <v>468</v>
      </c>
    </row>
    <row r="213" ht="14.25">
      <c r="A213" s="62" t="s">
        <v>470</v>
      </c>
    </row>
    <row r="214" ht="14.25">
      <c r="A214" s="62" t="s">
        <v>472</v>
      </c>
    </row>
    <row r="215" ht="14.25">
      <c r="A215" s="62" t="s">
        <v>474</v>
      </c>
    </row>
    <row r="216" ht="14.25">
      <c r="A216" s="62" t="s">
        <v>476</v>
      </c>
    </row>
    <row r="217" ht="14.25">
      <c r="A217" s="62" t="s">
        <v>478</v>
      </c>
    </row>
    <row r="218" ht="14.25">
      <c r="A218" s="62" t="s">
        <v>480</v>
      </c>
    </row>
    <row r="219" ht="14.25">
      <c r="A219" s="63" t="s">
        <v>482</v>
      </c>
    </row>
    <row r="220" ht="14.25">
      <c r="A220" s="63" t="s">
        <v>484</v>
      </c>
    </row>
    <row r="221" ht="14.25">
      <c r="A221" s="63" t="s">
        <v>486</v>
      </c>
    </row>
    <row r="222" ht="14.25">
      <c r="A222" s="63" t="s">
        <v>488</v>
      </c>
    </row>
    <row r="223" ht="14.25">
      <c r="A223" s="63" t="s">
        <v>490</v>
      </c>
    </row>
    <row r="224" ht="14.25">
      <c r="A224" s="63" t="s">
        <v>492</v>
      </c>
    </row>
    <row r="225" ht="14.25">
      <c r="A225" s="63" t="s">
        <v>494</v>
      </c>
    </row>
    <row r="226" ht="14.25">
      <c r="A226" s="63" t="s">
        <v>496</v>
      </c>
    </row>
    <row r="227" ht="14.25">
      <c r="A227" s="63" t="s">
        <v>498</v>
      </c>
    </row>
    <row r="228" ht="14.25">
      <c r="A228" s="63" t="s">
        <v>500</v>
      </c>
    </row>
    <row r="229" ht="14.25">
      <c r="A229" s="63" t="s">
        <v>502</v>
      </c>
    </row>
    <row r="230" ht="14.25">
      <c r="A230" s="63" t="s">
        <v>504</v>
      </c>
    </row>
    <row r="231" ht="14.25">
      <c r="A231" s="63" t="s">
        <v>506</v>
      </c>
    </row>
    <row r="232" ht="14.25">
      <c r="A232" s="63" t="s">
        <v>508</v>
      </c>
    </row>
    <row r="233" ht="14.25">
      <c r="A233" s="63" t="s">
        <v>510</v>
      </c>
    </row>
    <row r="234" ht="14.25">
      <c r="A234" s="63" t="s">
        <v>512</v>
      </c>
    </row>
    <row r="235" ht="14.25">
      <c r="A235" s="63" t="s">
        <v>514</v>
      </c>
    </row>
    <row r="236" ht="14.25">
      <c r="A236" s="63" t="s">
        <v>516</v>
      </c>
    </row>
    <row r="237" ht="14.25">
      <c r="A237" s="63" t="s">
        <v>518</v>
      </c>
    </row>
    <row r="238" ht="14.25">
      <c r="A238" s="63" t="s">
        <v>520</v>
      </c>
    </row>
    <row r="239" ht="14.25">
      <c r="A239" s="63" t="s">
        <v>522</v>
      </c>
    </row>
  </sheetData>
  <printOptions headings="0" gridLines="0"/>
  <pageMargins left="0.70078740157480324" right="0.70078740157480324" top="0.75196850393700787" bottom="0.75196850393700787" header="0.29999999999999999" footer="0.29999999999999999"/>
  <pageSetup paperSize="9" scale="100" firstPageNumber="4294967295"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ONLYOFFICE/7.1.1.23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PAGNIEZ Joel</dc:creator>
  <cp:lastModifiedBy>Corinne DOUBLEIN</cp:lastModifiedBy>
  <cp:revision>5</cp:revision>
  <dcterms:created xsi:type="dcterms:W3CDTF">2023-03-22T18:59:00Z</dcterms:created>
  <dcterms:modified xsi:type="dcterms:W3CDTF">2023-09-28T15:40:57Z</dcterms:modified>
</cp:coreProperties>
</file>